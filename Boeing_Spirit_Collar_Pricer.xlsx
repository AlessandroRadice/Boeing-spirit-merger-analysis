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Pricer" sheetId="3" state="visible" r:id="rId5"/>
    <sheet name="Scenarios" sheetId="4" state="visible" r:id="rId6"/>
    <sheet name="Band grid" sheetId="5" state="visible" r:id="rId7"/>
    <sheet name="Paths" sheetId="6" state="visible" r:id="rId8"/>
    <sheet name="Checks" sheetId="7" state="visible" r:id="rId9"/>
  </sheets>
  <calcPr iterateCount="100" refMode="A1" iterate="false" iterateDelta="0.0001"/>
</workbook>
</file>

<file path=xl/sharedStrings.xml><?xml version="1.0" encoding="utf-8"?>
<sst xmlns="http://schemas.openxmlformats.org/spreadsheetml/2006/main" count="175" uniqueCount="155">
  <si>
    <t xml:space="preserve">Boeing–Spirit Merger Analysis: Collar Valuation and Merger Arbitrage</t>
  </si>
  <si>
    <t xml:space="preserve">Collar pricer · Prepared by Alessandro Radice · Educational project, not investment advice · January 2026</t>
  </si>
  <si>
    <t xml:space="preserve">Question</t>
  </si>
  <si>
    <t xml:space="preserve">On 30 June 2024 Boeing agreed to buy Spirit AeroSystems for $37.25 a share, paid in Boeing stock, with a collar. What was the offer worth to Spirit shareholders, how did it compare with the alternatives, and what did they actually receive?</t>
  </si>
  <si>
    <t xml:space="preserve">Inputs</t>
  </si>
  <si>
    <t xml:space="preserve">Deal terms from the proxy statement, Boeing and the Treasury rate on 28 June 2024 (last close before signing), and the implied volatility at the two collar strikes from the Boeing surface fitted in Python.</t>
  </si>
  <si>
    <t xml:space="preserve">Pricer</t>
  </si>
  <si>
    <t xml:space="preserve">The collar as $37.25 paid at closing, minus 0.25 puts at $149.00, plus 0.18 calls at $206.94, all Black-Scholes, plus the small Monte Carlo averaging correction from Python. Compared with a fixed exchange ratio and a fixed value with no collar. Payoff at any Boeing VWAP.</t>
  </si>
  <si>
    <t xml:space="preserve">Scenarios</t>
  </si>
  <si>
    <t xml:space="preserve">Value per Spirit share for Boeing VWAPs from $100 to $280, under the three structures.</t>
  </si>
  <si>
    <t xml:space="preserve">Band grid</t>
  </si>
  <si>
    <t xml:space="preserve">Collar value for other floors and caps (as % of Boeing at signing), at a single flat volatility.</t>
  </si>
  <si>
    <t xml:space="preserve">Paths</t>
  </si>
  <si>
    <t xml:space="preserve">Every trading day from 1 July 2024 to closing: Boeing, Spirit, the 15-day VWAP, the value if the deal had closed that day, the model value from Python, the merger-arbitrage spread and the implied probability of completion.</t>
  </si>
  <si>
    <t xml:space="preserve">Checks</t>
  </si>
  <si>
    <t xml:space="preserve">Reconciliation with the Python engine (notebook sections 5 to 9).</t>
  </si>
  <si>
    <t xml:space="preserve">Switches</t>
  </si>
  <si>
    <t xml:space="preserve">Inputs!C6 = Boeing VWAP for the payoff on the Pricer sheet; Inputs!C7 = expected closing date; Inputs!C8 = Spirit price if the deal breaks.</t>
  </si>
  <si>
    <t xml:space="preserve">Colour code</t>
  </si>
  <si>
    <t xml:space="preserve">Blue = hard-coded input · Black = formula · Green = link to another sheet · Yellow fill = switch.</t>
  </si>
  <si>
    <t xml:space="preserve">Where the volatility comes from</t>
  </si>
  <si>
    <t xml:space="preserve">Boeing's implied volatility surface is fitted every day in Python (Boeing_Spirit_Collar_Analysis.ipynb) from end-of-day option quotes. This workbook takes the vols at the collar strikes and the daily model values as inputs; every other number is a live formula.</t>
  </si>
  <si>
    <t xml:space="preserve">Sources</t>
  </si>
  <si>
    <t xml:space="preserve">Boeing option chains and Boeing and Spirit prices: DoltHub post-no-preference/options and /stocks. Treasury yields: FRED. Deal terms: Spirit DEFM14A (20 Dec 2024) and Form 8-K (8 Dec 2025).</t>
  </si>
  <si>
    <t xml:space="preserve">Per Spirit share unless stated · market on Friday 28 June 2024, the last close before signing</t>
  </si>
  <si>
    <t xml:space="preserve">Boeing VWAP for the payoff (Pricer sheet)</t>
  </si>
  <si>
    <t xml:space="preserve">Try 136.59 (April 2025 low), 190.54 (actual VWAP), 237.38 (September 2025 high)</t>
  </si>
  <si>
    <t xml:space="preserve">Expected closing date</t>
  </si>
  <si>
    <t xml:space="preserve">"Mid-2025" at signing. Actual effective time: 8 December 2025</t>
  </si>
  <si>
    <t xml:space="preserve">Spirit price if the deal breaks</t>
  </si>
  <si>
    <t xml:space="preserve">Unaffected close on 29 February 2024, before reports of talks (Spirit announcement)</t>
  </si>
  <si>
    <t xml:space="preserve">Deal terms</t>
  </si>
  <si>
    <t xml:space="preserve">Value</t>
  </si>
  <si>
    <t xml:space="preserve">Note / source</t>
  </si>
  <si>
    <t xml:space="preserve">Value per Spirit share inside the band</t>
  </si>
  <si>
    <t xml:space="preserve">Merger agreement, 30 June 2024 (Spirit DEFM14A)</t>
  </si>
  <si>
    <t xml:space="preserve">Floor (Boeing VWAP)</t>
  </si>
  <si>
    <t xml:space="preserve">At or below: exchange ratio fixed</t>
  </si>
  <si>
    <t xml:space="preserve">Cap (Boeing VWAP)</t>
  </si>
  <si>
    <t xml:space="preserve">At or above: exchange ratio fixed</t>
  </si>
  <si>
    <t xml:space="preserve">Exchange ratio at or below the floor</t>
  </si>
  <si>
    <t xml:space="preserve">Contract figure; = $37.25 / $149.00</t>
  </si>
  <si>
    <t xml:space="preserve">Exchange ratio at or above the cap</t>
  </si>
  <si>
    <t xml:space="preserve">Contract figure; = $37.25 / $206.94</t>
  </si>
  <si>
    <t xml:space="preserve">Check: floor ratio − value / floor</t>
  </si>
  <si>
    <t xml:space="preserve">Should be 0</t>
  </si>
  <si>
    <t xml:space="preserve">Check: cap ratio − value / cap</t>
  </si>
  <si>
    <t xml:space="preserve">Rounding in the contract: 0.18 vs 0.180004</t>
  </si>
  <si>
    <t xml:space="preserve">VWAP window</t>
  </si>
  <si>
    <t xml:space="preserve">15 trading days</t>
  </si>
  <si>
    <t xml:space="preserve">Ending on the second full trading day before the effective time</t>
  </si>
  <si>
    <t xml:space="preserve">Market, 28 June 2024</t>
  </si>
  <si>
    <t xml:space="preserve">Valuation date</t>
  </si>
  <si>
    <t xml:space="preserve">Last close before the Sunday 30 June signing</t>
  </si>
  <si>
    <t xml:space="preserve">Years to closing</t>
  </si>
  <si>
    <t xml:space="preserve">Calendar days / 365</t>
  </si>
  <si>
    <t xml:space="preserve">Boeing close</t>
  </si>
  <si>
    <t xml:space="preserve">Sets the fixed-ratio alternative: $37.25 / close</t>
  </si>
  <si>
    <t xml:space="preserve">Boeing spot at the quote snapshot</t>
  </si>
  <si>
    <t xml:space="preserve">Put-call parity across near-the-money strikes (Python)</t>
  </si>
  <si>
    <t xml:space="preserve">Risk-free rate, continuous</t>
  </si>
  <si>
    <t xml:space="preserve">FRED Treasury curve at the closing horizon, ln(1 + y)</t>
  </si>
  <si>
    <t xml:space="preserve">Dividend yield</t>
  </si>
  <si>
    <t xml:space="preserve">Boeing dividend suspended since 2020</t>
  </si>
  <si>
    <t xml:space="preserve">Implied vol at the $149.00 put strike</t>
  </si>
  <si>
    <t xml:space="preserve">Boeing SVI surface, 28 June 2024, at the closing horizon (Python, section 5)</t>
  </si>
  <si>
    <t xml:space="preserve">Implied vol at the $206.94 call strike</t>
  </si>
  <si>
    <t xml:space="preserve">Same surface; the skew makes the put vol higher</t>
  </si>
  <si>
    <t xml:space="preserve">At-the-money implied vol</t>
  </si>
  <si>
    <t xml:space="preserve">Used for the band grid (flat vol)</t>
  </si>
  <si>
    <t xml:space="preserve">Discount factor to closing</t>
  </si>
  <si>
    <t xml:space="preserve">Forward to closing</t>
  </si>
  <si>
    <t xml:space="preserve">F = S e^((r − q) T)</t>
  </si>
  <si>
    <t xml:space="preserve">Closing, 8 December 2025</t>
  </si>
  <si>
    <t xml:space="preserve">Exchange ratio applied</t>
  </si>
  <si>
    <t xml:space="preserve">Spirit Form 8-K, 8 December 2025</t>
  </si>
  <si>
    <t xml:space="preserve">Boeing close on the closing day</t>
  </si>
  <si>
    <t xml:space="preserve">DoltHub, 8 December 2025</t>
  </si>
  <si>
    <t xml:space="preserve">Implied Boeing VWAP</t>
  </si>
  <si>
    <t xml:space="preserve">Ratio rounded to four decimals</t>
  </si>
  <si>
    <t xml:space="preserve">Black-Scholes, per Spirit share · valuation 28 June 2024 · closing on Inputs!C7</t>
  </si>
  <si>
    <t xml:space="preserve">Option leg</t>
  </si>
  <si>
    <t xml:space="preserve">Strike</t>
  </si>
  <si>
    <t xml:space="preserve">Implied vol</t>
  </si>
  <si>
    <t xml:space="preserve">d1</t>
  </si>
  <si>
    <t xml:space="preserve">d2</t>
  </si>
  <si>
    <t xml:space="preserve">Price</t>
  </si>
  <si>
    <t xml:space="preserve">Quantity</t>
  </si>
  <si>
    <t xml:space="preserve">Put on Boeing (Spirit holders are short)</t>
  </si>
  <si>
    <t xml:space="preserve">Call on Boeing (Spirit holders are long)</t>
  </si>
  <si>
    <t xml:space="preserve">Value of the offer on signing day</t>
  </si>
  <si>
    <t xml:space="preserve">vs fixed ratio</t>
  </si>
  <si>
    <t xml:space="preserve">$37.25 paid at closing, discounted</t>
  </si>
  <si>
    <t xml:space="preserve">Puts sold at the floor</t>
  </si>
  <si>
    <t xml:space="preserve">Calls kept above the cap</t>
  </si>
  <si>
    <t xml:space="preserve">Averaging and delivery lag (Monte Carlo, Python)</t>
  </si>
  <si>
    <t xml:space="preserve">Collar (actual terms)</t>
  </si>
  <si>
    <t xml:space="preserve">Fixed exchange ratio (= $37.25 / Boeing close)</t>
  </si>
  <si>
    <t xml:space="preserve">Fixed value, no collar</t>
  </si>
  <si>
    <t xml:space="preserve">Fixed exchange ratio used</t>
  </si>
  <si>
    <t xml:space="preserve">Cost of the collar vs fixed ratio, $M on ~126.2M shares</t>
  </si>
  <si>
    <t xml:space="preserve">Shares ≈ $4.7bn equity value / $37.25 (Boeing announcement). The averaging row is the Monte Carlo correction for the 15-day VWAP and the two-day delivery lag at the Inputs!C7 closing date (notebook section 5); −$0.0014 for a mid-2025 closing, about −$0.015 for the actual 8 December 2025 closing. Update it from the notebook if you move Inputs!C7.</t>
  </si>
  <si>
    <t xml:space="preserve">Payoff at the VWAP on Inputs!C6</t>
  </si>
  <si>
    <t xml:space="preserve">Boeing VWAP</t>
  </si>
  <si>
    <t xml:space="preserve">Regime</t>
  </si>
  <si>
    <t xml:space="preserve">Boeing shares per Spirit share</t>
  </si>
  <si>
    <t xml:space="preserve">Collar value per Spirit share</t>
  </si>
  <si>
    <t xml:space="preserve">Fixed exchange ratio</t>
  </si>
  <si>
    <t xml:space="preserve">Collar vs fixed ratio</t>
  </si>
  <si>
    <t xml:space="preserve">Value per Spirit share at closing, by Boeing VWAP (shares valued at the VWAP)</t>
  </si>
  <si>
    <t xml:space="preserve">Ratio</t>
  </si>
  <si>
    <t xml:space="preserve">Collar</t>
  </si>
  <si>
    <t xml:space="preserve">Fixed ratio</t>
  </si>
  <si>
    <t xml:space="preserve">Fixed value</t>
  </si>
  <si>
    <t xml:space="preserve">Collar − fixed ratio</t>
  </si>
  <si>
    <t xml:space="preserve">Collar value per Spirit share on signing day, for other floors and caps · flat vol = Inputs!C29 · the $37.25 value is kept inside the band</t>
  </si>
  <si>
    <t xml:space="preserve">Floor ↓ / Cap →</t>
  </si>
  <si>
    <t xml:space="preserve">Rows: floor as % of Boeing's $182.01 close. Columns: cap as % of the same close. Actual terms: floor 81.9%, cap 113.7%.</t>
  </si>
  <si>
    <t xml:space="preserve">Flat volatility here; the notebook and the web page use the full Boeing surface with skew, which lowers the value of the actual collar by about $0.19.</t>
  </si>
  <si>
    <t xml:space="preserve">Shaded: bands where the collar is worth at least as much as a fixed exchange ratio (Pricer!C16).</t>
  </si>
  <si>
    <t xml:space="preserve">Every trading day, 1 July 2024 to closing · model value from the Python engine (daily Boeing surface, actual closing date)</t>
  </si>
  <si>
    <t xml:space="preserve">Date</t>
  </si>
  <si>
    <t xml:space="preserve">Boeing</t>
  </si>
  <si>
    <t xml:space="preserve">Spirit</t>
  </si>
  <si>
    <t xml:space="preserve">VWAP 15d</t>
  </si>
  <si>
    <t xml:space="preserve">If closed that day</t>
  </si>
  <si>
    <t xml:space="preserve">Model value</t>
  </si>
  <si>
    <t xml:space="preserve">Spread</t>
  </si>
  <si>
    <t xml:space="preserve">Implied probability</t>
  </si>
  <si>
    <t xml:space="preserve">Below floor</t>
  </si>
  <si>
    <t xml:space="preserve">Summary</t>
  </si>
  <si>
    <t xml:space="preserve">Trading days</t>
  </si>
  <si>
    <t xml:space="preserve">Days Boeing closed at or below the floor</t>
  </si>
  <si>
    <t xml:space="preserve">Days Boeing closed at or above the cap</t>
  </si>
  <si>
    <t xml:space="preserve">Boeing low</t>
  </si>
  <si>
    <t xml:space="preserve">Lowest value if the deal had closed that day</t>
  </si>
  <si>
    <t xml:space="preserve">Average spread (model − Spirit)</t>
  </si>
  <si>
    <t xml:space="preserve">Days with a negative spread</t>
  </si>
  <si>
    <t xml:space="preserve">Median implied probability of completion</t>
  </si>
  <si>
    <t xml:space="preserve">Reconciliation with the Python engine (Boeing_Spirit_Collar_Analysis.ipynb)</t>
  </si>
  <si>
    <t xml:space="preserve">Item</t>
  </si>
  <si>
    <t xml:space="preserve">Excel</t>
  </si>
  <si>
    <t xml:space="preserve">Python</t>
  </si>
  <si>
    <t xml:space="preserve">Difference</t>
  </si>
  <si>
    <t xml:space="preserve">OK</t>
  </si>
  <si>
    <t xml:space="preserve">Put at $149, signing day (closing 30 Jun 2025)</t>
  </si>
  <si>
    <t xml:space="preserve">Call at $206.94, signing day</t>
  </si>
  <si>
    <t xml:space="preserve">Collar value, signing day</t>
  </si>
  <si>
    <t xml:space="preserve">Fixed exchange ratio value</t>
  </si>
  <si>
    <t xml:space="preserve">Days Boeing at or below the floor</t>
  </si>
  <si>
    <t xml:space="preserve">Days Boeing at or above the cap</t>
  </si>
  <si>
    <t xml:space="preserve">Average merger-arbitrage spread</t>
  </si>
  <si>
    <t xml:space="preserve">Median implied probability (break at $28.60)</t>
  </si>
  <si>
    <t xml:space="preserve">Value delivered at closing (0.1955 × Boeing)</t>
  </si>
  <si>
    <t xml:space="preserve">Python values are copied in as inputs (blue); every Excel value is a formula on this workbook's own inputs.</t>
  </si>
</sst>
</file>

<file path=xl/styles.xml><?xml version="1.0" encoding="utf-8"?>
<styleSheet xmlns="http://schemas.openxmlformats.org/spreadsheetml/2006/main">
  <numFmts count="10">
    <numFmt numFmtId="164" formatCode="General"/>
    <numFmt numFmtId="165" formatCode="\$#,##0.00;&quot;-$&quot;#,##0.00"/>
    <numFmt numFmtId="166" formatCode="d\ mmm\ yyyy"/>
    <numFmt numFmtId="167" formatCode="0.0000"/>
    <numFmt numFmtId="168" formatCode="0.000000"/>
    <numFmt numFmtId="169" formatCode="0.00%"/>
    <numFmt numFmtId="170" formatCode="#,##0.0"/>
    <numFmt numFmtId="171" formatCode="0.0%"/>
    <numFmt numFmtId="172" formatCode="0"/>
    <numFmt numFmtId="173"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rgb="FF66655E"/>
      <name val="Arial"/>
      <family val="0"/>
      <charset val="1"/>
    </font>
    <font>
      <b val="true"/>
      <sz val="10"/>
      <name val="Arial"/>
      <family val="0"/>
      <charset val="1"/>
    </font>
    <font>
      <sz val="10"/>
      <name val="Arial"/>
      <family val="0"/>
      <charset val="1"/>
    </font>
    <font>
      <b val="true"/>
      <sz val="10"/>
      <color rgb="FF0000FF"/>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FFF2CC"/>
        <bgColor rgb="FFECEBE5"/>
      </patternFill>
    </fill>
    <fill>
      <patternFill patternType="solid">
        <fgColor rgb="FF1A1A18"/>
        <bgColor rgb="FF003300"/>
      </patternFill>
    </fill>
    <fill>
      <patternFill patternType="solid">
        <fgColor rgb="FFECEBE5"/>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right" vertical="center" textRotation="0" wrapText="tru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9" fillId="3"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C00000"/>
        <sz val="10"/>
      </font>
    </dxf>
    <dxf>
      <fill>
        <patternFill>
          <bgColor rgb="FFDDEB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CEBE5"/>
      <rgbColor rgb="FFFFFF99"/>
      <rgbColor rgb="FF99CCFF"/>
      <rgbColor rgb="FFFF99CC"/>
      <rgbColor rgb="FFCC99FF"/>
      <rgbColor rgb="FFFFCC99"/>
      <rgbColor rgb="FF3366FF"/>
      <rgbColor rgb="FF33CCCC"/>
      <rgbColor rgb="FF99CC00"/>
      <rgbColor rgb="FFFFCC00"/>
      <rgbColor rgb="FFFF9900"/>
      <rgbColor rgb="FFFF6600"/>
      <rgbColor rgb="FF66655E"/>
      <rgbColor rgb="FF969696"/>
      <rgbColor rgb="FF003366"/>
      <rgbColor rgb="FF339966"/>
      <rgbColor rgb="FF003300"/>
      <rgbColor rgb="FF1A1A18"/>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24"/>
    <col collapsed="false" customWidth="true" hidden="false" outlineLevel="0" max="3" min="3" style="0" width="110"/>
  </cols>
  <sheetData>
    <row r="2" customFormat="false" ht="17.35" hidden="false" customHeight="false" outlineLevel="0" collapsed="false">
      <c r="B2" s="1" t="s">
        <v>0</v>
      </c>
    </row>
    <row r="3" customFormat="false" ht="15" hidden="false" customHeight="false" outlineLevel="0" collapsed="false">
      <c r="B3" s="2" t="s">
        <v>1</v>
      </c>
    </row>
    <row r="6" customFormat="false" ht="30" hidden="false" customHeight="true" outlineLevel="0" collapsed="false">
      <c r="B6" s="3" t="s">
        <v>2</v>
      </c>
      <c r="C6" s="4" t="s">
        <v>3</v>
      </c>
    </row>
    <row r="7" customFormat="false" ht="30" hidden="false" customHeight="true" outlineLevel="0" collapsed="false">
      <c r="B7" s="3" t="s">
        <v>4</v>
      </c>
      <c r="C7" s="4" t="s">
        <v>5</v>
      </c>
    </row>
    <row r="8" customFormat="false" ht="30" hidden="false" customHeight="true" outlineLevel="0" collapsed="false">
      <c r="B8" s="3" t="s">
        <v>6</v>
      </c>
      <c r="C8" s="4" t="s">
        <v>7</v>
      </c>
    </row>
    <row r="9" customFormat="false" ht="30" hidden="false" customHeight="true" outlineLevel="0" collapsed="false">
      <c r="B9" s="3" t="s">
        <v>8</v>
      </c>
      <c r="C9" s="4" t="s">
        <v>9</v>
      </c>
    </row>
    <row r="10" customFormat="false" ht="30" hidden="false" customHeight="true" outlineLevel="0" collapsed="false">
      <c r="B10" s="3" t="s">
        <v>10</v>
      </c>
      <c r="C10" s="4" t="s">
        <v>11</v>
      </c>
    </row>
    <row r="11" customFormat="false" ht="30" hidden="false" customHeight="true" outlineLevel="0" collapsed="false">
      <c r="B11" s="3" t="s">
        <v>12</v>
      </c>
      <c r="C11" s="4" t="s">
        <v>13</v>
      </c>
    </row>
    <row r="12" customFormat="false" ht="30" hidden="false" customHeight="true" outlineLevel="0" collapsed="false">
      <c r="B12" s="3" t="s">
        <v>14</v>
      </c>
      <c r="C12" s="4" t="s">
        <v>15</v>
      </c>
    </row>
    <row r="13" customFormat="false" ht="30" hidden="false" customHeight="true" outlineLevel="0" collapsed="false">
      <c r="B13" s="3" t="s">
        <v>16</v>
      </c>
      <c r="C13" s="4" t="s">
        <v>17</v>
      </c>
    </row>
    <row r="14" customFormat="false" ht="30" hidden="false" customHeight="true" outlineLevel="0" collapsed="false">
      <c r="B14" s="3" t="s">
        <v>18</v>
      </c>
      <c r="C14" s="4" t="s">
        <v>19</v>
      </c>
    </row>
    <row r="15" customFormat="false" ht="30" hidden="false" customHeight="true" outlineLevel="0" collapsed="false">
      <c r="B15" s="3" t="s">
        <v>20</v>
      </c>
      <c r="C15" s="4" t="s">
        <v>21</v>
      </c>
    </row>
    <row r="16" customFormat="false" ht="30" hidden="false" customHeight="true" outlineLevel="0" collapsed="false">
      <c r="B16" s="3" t="s">
        <v>22</v>
      </c>
      <c r="C16"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50"/>
    <col collapsed="false" customWidth="true" hidden="false" outlineLevel="0" max="3" min="3" style="0" width="15"/>
    <col collapsed="false" customWidth="true" hidden="false" outlineLevel="0" max="4" min="4" style="0" width="70"/>
  </cols>
  <sheetData>
    <row r="2" customFormat="false" ht="17.35" hidden="false" customHeight="false" outlineLevel="0" collapsed="false">
      <c r="B2" s="1" t="s">
        <v>4</v>
      </c>
    </row>
    <row r="3" customFormat="false" ht="15" hidden="false" customHeight="false" outlineLevel="0" collapsed="false">
      <c r="B3" s="2" t="s">
        <v>24</v>
      </c>
    </row>
    <row r="5" customFormat="false" ht="15" hidden="false" customHeight="false" outlineLevel="0" collapsed="false">
      <c r="B5" s="5" t="s">
        <v>16</v>
      </c>
    </row>
    <row r="6" customFormat="false" ht="15" hidden="false" customHeight="false" outlineLevel="0" collapsed="false">
      <c r="B6" s="6" t="s">
        <v>25</v>
      </c>
      <c r="C6" s="7" t="n">
        <v>182.01</v>
      </c>
      <c r="D6" s="2" t="s">
        <v>26</v>
      </c>
    </row>
    <row r="7" customFormat="false" ht="15" hidden="false" customHeight="false" outlineLevel="0" collapsed="false">
      <c r="B7" s="6" t="s">
        <v>27</v>
      </c>
      <c r="C7" s="8" t="n">
        <v>45838</v>
      </c>
      <c r="D7" s="2" t="s">
        <v>28</v>
      </c>
    </row>
    <row r="8" customFormat="false" ht="15" hidden="false" customHeight="false" outlineLevel="0" collapsed="false">
      <c r="B8" s="6" t="s">
        <v>29</v>
      </c>
      <c r="C8" s="7" t="n">
        <v>28.6</v>
      </c>
      <c r="D8" s="2" t="s">
        <v>30</v>
      </c>
    </row>
    <row r="10" customFormat="false" ht="15" hidden="false" customHeight="false" outlineLevel="0" collapsed="false">
      <c r="B10" s="9" t="s">
        <v>31</v>
      </c>
      <c r="C10" s="10" t="s">
        <v>32</v>
      </c>
      <c r="D10" s="10" t="s">
        <v>33</v>
      </c>
    </row>
    <row r="11" customFormat="false" ht="15" hidden="false" customHeight="false" outlineLevel="0" collapsed="false">
      <c r="B11" s="6" t="s">
        <v>34</v>
      </c>
      <c r="C11" s="11" t="n">
        <v>37.25</v>
      </c>
      <c r="D11" s="2" t="s">
        <v>35</v>
      </c>
    </row>
    <row r="12" customFormat="false" ht="15" hidden="false" customHeight="false" outlineLevel="0" collapsed="false">
      <c r="B12" s="6" t="s">
        <v>36</v>
      </c>
      <c r="C12" s="11" t="n">
        <v>149</v>
      </c>
      <c r="D12" s="2" t="s">
        <v>37</v>
      </c>
    </row>
    <row r="13" customFormat="false" ht="15" hidden="false" customHeight="false" outlineLevel="0" collapsed="false">
      <c r="B13" s="6" t="s">
        <v>38</v>
      </c>
      <c r="C13" s="11" t="n">
        <v>206.94</v>
      </c>
      <c r="D13" s="2" t="s">
        <v>39</v>
      </c>
    </row>
    <row r="14" customFormat="false" ht="15" hidden="false" customHeight="false" outlineLevel="0" collapsed="false">
      <c r="B14" s="6" t="s">
        <v>40</v>
      </c>
      <c r="C14" s="12" t="n">
        <v>0.25</v>
      </c>
      <c r="D14" s="2" t="s">
        <v>41</v>
      </c>
    </row>
    <row r="15" customFormat="false" ht="15" hidden="false" customHeight="false" outlineLevel="0" collapsed="false">
      <c r="B15" s="6" t="s">
        <v>42</v>
      </c>
      <c r="C15" s="12" t="n">
        <v>0.18</v>
      </c>
      <c r="D15" s="2" t="s">
        <v>43</v>
      </c>
    </row>
    <row r="16" customFormat="false" ht="15" hidden="false" customHeight="false" outlineLevel="0" collapsed="false">
      <c r="B16" s="6" t="s">
        <v>44</v>
      </c>
      <c r="C16" s="13" t="n">
        <f aca="false">C14-C11/C12</f>
        <v>0</v>
      </c>
      <c r="D16" s="2" t="s">
        <v>45</v>
      </c>
    </row>
    <row r="17" customFormat="false" ht="15" hidden="false" customHeight="false" outlineLevel="0" collapsed="false">
      <c r="B17" s="6" t="s">
        <v>46</v>
      </c>
      <c r="C17" s="13" t="n">
        <f aca="false">C15-C11/C13</f>
        <v>-3.86585483716506E-006</v>
      </c>
      <c r="D17" s="2" t="s">
        <v>47</v>
      </c>
    </row>
    <row r="18" customFormat="false" ht="15" hidden="false" customHeight="false" outlineLevel="0" collapsed="false">
      <c r="B18" s="6" t="s">
        <v>48</v>
      </c>
      <c r="C18" s="14" t="s">
        <v>49</v>
      </c>
      <c r="D18" s="2" t="s">
        <v>50</v>
      </c>
    </row>
    <row r="20" customFormat="false" ht="15" hidden="false" customHeight="false" outlineLevel="0" collapsed="false">
      <c r="B20" s="9" t="s">
        <v>51</v>
      </c>
      <c r="C20" s="10" t="s">
        <v>32</v>
      </c>
      <c r="D20" s="10" t="s">
        <v>33</v>
      </c>
    </row>
    <row r="21" customFormat="false" ht="15" hidden="false" customHeight="false" outlineLevel="0" collapsed="false">
      <c r="B21" s="6" t="s">
        <v>52</v>
      </c>
      <c r="C21" s="15" t="n">
        <v>45471</v>
      </c>
      <c r="D21" s="2" t="s">
        <v>53</v>
      </c>
    </row>
    <row r="22" customFormat="false" ht="15" hidden="false" customHeight="false" outlineLevel="0" collapsed="false">
      <c r="B22" s="6" t="s">
        <v>54</v>
      </c>
      <c r="C22" s="16" t="n">
        <f aca="false">(C7-C21)/365</f>
        <v>1.00547945205479</v>
      </c>
      <c r="D22" s="2" t="s">
        <v>55</v>
      </c>
    </row>
    <row r="23" customFormat="false" ht="15" hidden="false" customHeight="false" outlineLevel="0" collapsed="false">
      <c r="B23" s="6" t="s">
        <v>56</v>
      </c>
      <c r="C23" s="11" t="n">
        <v>182.01</v>
      </c>
      <c r="D23" s="2" t="s">
        <v>57</v>
      </c>
    </row>
    <row r="24" customFormat="false" ht="15" hidden="false" customHeight="false" outlineLevel="0" collapsed="false">
      <c r="B24" s="6" t="s">
        <v>58</v>
      </c>
      <c r="C24" s="11" t="n">
        <v>182.319416</v>
      </c>
      <c r="D24" s="2" t="s">
        <v>59</v>
      </c>
    </row>
    <row r="25" customFormat="false" ht="15" hidden="false" customHeight="false" outlineLevel="0" collapsed="false">
      <c r="B25" s="6" t="s">
        <v>60</v>
      </c>
      <c r="C25" s="17" t="n">
        <v>0.04962713</v>
      </c>
      <c r="D25" s="2" t="s">
        <v>61</v>
      </c>
    </row>
    <row r="26" customFormat="false" ht="15" hidden="false" customHeight="false" outlineLevel="0" collapsed="false">
      <c r="B26" s="6" t="s">
        <v>62</v>
      </c>
      <c r="C26" s="17" t="n">
        <v>0</v>
      </c>
      <c r="D26" s="2" t="s">
        <v>63</v>
      </c>
    </row>
    <row r="27" customFormat="false" ht="15" hidden="false" customHeight="false" outlineLevel="0" collapsed="false">
      <c r="B27" s="6" t="s">
        <v>64</v>
      </c>
      <c r="C27" s="17" t="n">
        <v>0.3358331</v>
      </c>
      <c r="D27" s="2" t="s">
        <v>65</v>
      </c>
    </row>
    <row r="28" customFormat="false" ht="15" hidden="false" customHeight="false" outlineLevel="0" collapsed="false">
      <c r="B28" s="6" t="s">
        <v>66</v>
      </c>
      <c r="C28" s="17" t="n">
        <v>0.32030495</v>
      </c>
      <c r="D28" s="2" t="s">
        <v>67</v>
      </c>
    </row>
    <row r="29" customFormat="false" ht="15" hidden="false" customHeight="false" outlineLevel="0" collapsed="false">
      <c r="B29" s="6" t="s">
        <v>68</v>
      </c>
      <c r="C29" s="17" t="n">
        <v>0.32204842</v>
      </c>
      <c r="D29" s="2" t="s">
        <v>69</v>
      </c>
    </row>
    <row r="30" customFormat="false" ht="15" hidden="false" customHeight="false" outlineLevel="0" collapsed="false">
      <c r="B30" s="6" t="s">
        <v>70</v>
      </c>
      <c r="C30" s="13" t="n">
        <f aca="false">EXP(-C25*C22)</f>
        <v>0.95132544694018</v>
      </c>
      <c r="D30" s="2"/>
    </row>
    <row r="31" customFormat="false" ht="15" hidden="false" customHeight="false" outlineLevel="0" collapsed="false">
      <c r="B31" s="6" t="s">
        <v>71</v>
      </c>
      <c r="C31" s="18" t="n">
        <f aca="false">C24*EXP((C25-C26)*C22)</f>
        <v>191.647786345259</v>
      </c>
      <c r="D31" s="2" t="s">
        <v>72</v>
      </c>
    </row>
    <row r="33" customFormat="false" ht="15" hidden="false" customHeight="false" outlineLevel="0" collapsed="false">
      <c r="B33" s="9" t="s">
        <v>73</v>
      </c>
      <c r="C33" s="10" t="s">
        <v>32</v>
      </c>
      <c r="D33" s="10" t="s">
        <v>33</v>
      </c>
    </row>
    <row r="34" customFormat="false" ht="15" hidden="false" customHeight="false" outlineLevel="0" collapsed="false">
      <c r="B34" s="6" t="s">
        <v>74</v>
      </c>
      <c r="C34" s="12" t="n">
        <v>0.1955</v>
      </c>
      <c r="D34" s="2" t="s">
        <v>75</v>
      </c>
    </row>
    <row r="35" customFormat="false" ht="15" hidden="false" customHeight="false" outlineLevel="0" collapsed="false">
      <c r="B35" s="6" t="s">
        <v>76</v>
      </c>
      <c r="C35" s="11" t="n">
        <v>206.27</v>
      </c>
      <c r="D35" s="2" t="s">
        <v>77</v>
      </c>
    </row>
    <row r="36" customFormat="false" ht="15" hidden="false" customHeight="false" outlineLevel="0" collapsed="false">
      <c r="B36" s="6" t="s">
        <v>78</v>
      </c>
      <c r="C36" s="18" t="n">
        <f aca="false">C11/C34</f>
        <v>190.537084398977</v>
      </c>
      <c r="D36" s="2"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44"/>
    <col collapsed="false" customWidth="true" hidden="false" outlineLevel="0" max="9" min="3" style="0" width="12"/>
  </cols>
  <sheetData>
    <row r="2" customFormat="false" ht="17.35" hidden="false" customHeight="false" outlineLevel="0" collapsed="false">
      <c r="B2" s="1" t="s">
        <v>6</v>
      </c>
    </row>
    <row r="3" customFormat="false" ht="15" hidden="false" customHeight="false" outlineLevel="0" collapsed="false">
      <c r="B3" s="2" t="s">
        <v>80</v>
      </c>
    </row>
    <row r="5" customFormat="false" ht="15" hidden="false" customHeight="false" outlineLevel="0" collapsed="false">
      <c r="B5" s="9" t="s">
        <v>81</v>
      </c>
      <c r="C5" s="10" t="s">
        <v>82</v>
      </c>
      <c r="D5" s="10" t="s">
        <v>83</v>
      </c>
      <c r="E5" s="10" t="s">
        <v>84</v>
      </c>
      <c r="F5" s="10" t="s">
        <v>85</v>
      </c>
      <c r="G5" s="10" t="s">
        <v>86</v>
      </c>
      <c r="H5" s="10" t="s">
        <v>87</v>
      </c>
      <c r="I5" s="19" t="s">
        <v>32</v>
      </c>
    </row>
    <row r="6" customFormat="false" ht="15" hidden="false" customHeight="false" outlineLevel="0" collapsed="false">
      <c r="B6" s="6" t="s">
        <v>88</v>
      </c>
      <c r="C6" s="20" t="n">
        <f aca="false">Inputs!C12</f>
        <v>149</v>
      </c>
      <c r="D6" s="21" t="n">
        <f aca="false">Inputs!C27</f>
        <v>0.3358331</v>
      </c>
      <c r="E6" s="22" t="n">
        <f aca="false">(LN(Inputs!$C$24/C6)+(Inputs!$C$25-Inputs!$C$26+D6^2/2)*Inputs!$C$22)/(D6*SQRT(Inputs!$C$22))</f>
        <v>0.915848839611531</v>
      </c>
      <c r="F6" s="22" t="n">
        <f aca="false">E6-D6*SQRT(Inputs!$C$22)</f>
        <v>0.579096905883433</v>
      </c>
      <c r="G6" s="23" t="n">
        <f aca="false">C6*Inputs!$C$30*NORMSDIST(-F6)-Inputs!$C$24*EXP(-Inputs!$C$26*Inputs!$C$22)*NORMSDIST(-E6)</f>
        <v>7.07381091277896</v>
      </c>
      <c r="H6" s="24" t="n">
        <f aca="false">-Inputs!C14</f>
        <v>-0.25</v>
      </c>
      <c r="I6" s="23" t="n">
        <f aca="false">G6*H6</f>
        <v>-1.76845272819474</v>
      </c>
    </row>
    <row r="7" customFormat="false" ht="15" hidden="false" customHeight="false" outlineLevel="0" collapsed="false">
      <c r="B7" s="6" t="s">
        <v>89</v>
      </c>
      <c r="C7" s="20" t="n">
        <f aca="false">Inputs!C13</f>
        <v>206.94</v>
      </c>
      <c r="D7" s="21" t="n">
        <f aca="false">Inputs!C28</f>
        <v>0.32030495</v>
      </c>
      <c r="E7" s="22" t="n">
        <f aca="false">(LN(Inputs!$C$24/C7)+(Inputs!$C$25-Inputs!$C$26+D7^2/2)*Inputs!$C$22)/(D7*SQRT(Inputs!$C$22))</f>
        <v>-0.078432155299888</v>
      </c>
      <c r="F7" s="22" t="n">
        <f aca="false">E7-D7*SQRT(Inputs!$C$22)</f>
        <v>-0.399613454270066</v>
      </c>
      <c r="G7" s="23" t="n">
        <f aca="false">Inputs!$C$24*EXP(-Inputs!$C$26*Inputs!$C$22)*NORMSDIST(E7)-C7*Inputs!$C$30*NORMSDIST(F7)</f>
        <v>17.5965805910855</v>
      </c>
      <c r="H7" s="24" t="n">
        <f aca="false">Inputs!C15</f>
        <v>0.18</v>
      </c>
      <c r="I7" s="23" t="n">
        <f aca="false">G7*H7</f>
        <v>3.16738450639539</v>
      </c>
    </row>
    <row r="10" customFormat="false" ht="15" hidden="false" customHeight="false" outlineLevel="0" collapsed="false">
      <c r="B10" s="9" t="s">
        <v>90</v>
      </c>
      <c r="C10" s="10" t="s">
        <v>32</v>
      </c>
      <c r="D10" s="10" t="s">
        <v>91</v>
      </c>
    </row>
    <row r="11" customFormat="false" ht="15" hidden="false" customHeight="false" outlineLevel="0" collapsed="false">
      <c r="B11" s="6" t="s">
        <v>92</v>
      </c>
      <c r="C11" s="23" t="n">
        <f aca="false">Inputs!C11*Inputs!C30</f>
        <v>35.4368728985217</v>
      </c>
    </row>
    <row r="12" customFormat="false" ht="15" hidden="false" customHeight="false" outlineLevel="0" collapsed="false">
      <c r="B12" s="6" t="s">
        <v>93</v>
      </c>
      <c r="C12" s="23" t="n">
        <f aca="false">I6</f>
        <v>-1.76845272819474</v>
      </c>
    </row>
    <row r="13" customFormat="false" ht="15" hidden="false" customHeight="false" outlineLevel="0" collapsed="false">
      <c r="B13" s="6" t="s">
        <v>94</v>
      </c>
      <c r="C13" s="23" t="n">
        <f aca="false">I7</f>
        <v>3.16738450639539</v>
      </c>
    </row>
    <row r="14" customFormat="false" ht="15" hidden="false" customHeight="false" outlineLevel="0" collapsed="false">
      <c r="B14" s="6" t="s">
        <v>95</v>
      </c>
      <c r="C14" s="25" t="n">
        <v>-0.001359</v>
      </c>
    </row>
    <row r="15" customFormat="false" ht="15" hidden="false" customHeight="false" outlineLevel="0" collapsed="false">
      <c r="B15" s="5" t="s">
        <v>96</v>
      </c>
      <c r="C15" s="26" t="n">
        <f aca="false">SUM(C11:C14)</f>
        <v>36.8344456767223</v>
      </c>
      <c r="D15" s="23" t="n">
        <f aca="false">C15-C16</f>
        <v>-0.478879118618579</v>
      </c>
    </row>
    <row r="16" customFormat="false" ht="15" hidden="false" customHeight="false" outlineLevel="0" collapsed="false">
      <c r="B16" s="6" t="s">
        <v>97</v>
      </c>
      <c r="C16" s="23" t="n">
        <f aca="false">Inputs!C11/Inputs!C23*Inputs!C24*EXP(-Inputs!C26*Inputs!C22)</f>
        <v>37.3133247953409</v>
      </c>
      <c r="D16" s="23" t="n">
        <f aca="false">C16-C16</f>
        <v>0</v>
      </c>
    </row>
    <row r="17" customFormat="false" ht="15" hidden="false" customHeight="false" outlineLevel="0" collapsed="false">
      <c r="B17" s="6" t="s">
        <v>98</v>
      </c>
      <c r="C17" s="23" t="n">
        <f aca="false">C11</f>
        <v>35.4368728985217</v>
      </c>
      <c r="D17" s="23" t="n">
        <f aca="false">C17-C16</f>
        <v>-1.87645189681923</v>
      </c>
    </row>
    <row r="18" customFormat="false" ht="15" hidden="false" customHeight="false" outlineLevel="0" collapsed="false">
      <c r="B18" s="6" t="s">
        <v>99</v>
      </c>
      <c r="C18" s="22" t="n">
        <f aca="false">Inputs!C11/Inputs!C23</f>
        <v>0.204659084665678</v>
      </c>
    </row>
    <row r="19" customFormat="false" ht="15" hidden="false" customHeight="false" outlineLevel="0" collapsed="false">
      <c r="B19" s="6" t="s">
        <v>100</v>
      </c>
      <c r="C19" s="27" t="n">
        <f aca="false">(C16-C15)*4700/Inputs!C11</f>
        <v>60.422331745163</v>
      </c>
    </row>
    <row r="20" customFormat="false" ht="15" hidden="false" customHeight="false" outlineLevel="0" collapsed="false">
      <c r="B20" s="2" t="s">
        <v>101</v>
      </c>
    </row>
    <row r="22" customFormat="false" ht="15" hidden="false" customHeight="false" outlineLevel="0" collapsed="false">
      <c r="B22" s="9" t="s">
        <v>102</v>
      </c>
      <c r="C22" s="10" t="s">
        <v>32</v>
      </c>
    </row>
    <row r="23" customFormat="false" ht="15" hidden="false" customHeight="false" outlineLevel="0" collapsed="false">
      <c r="B23" s="6" t="s">
        <v>103</v>
      </c>
      <c r="C23" s="20" t="n">
        <f aca="false">Inputs!C6</f>
        <v>182.01</v>
      </c>
    </row>
    <row r="24" customFormat="false" ht="15" hidden="false" customHeight="false" outlineLevel="0" collapsed="false">
      <c r="B24" s="6" t="s">
        <v>104</v>
      </c>
      <c r="C24" s="28" t="str">
        <f aca="false">IF(C23&lt;=Inputs!C12,"Below the band",IF(C23&gt;=Inputs!C13,"Above the band","Inside the band"))</f>
        <v>Inside the band</v>
      </c>
    </row>
    <row r="25" customFormat="false" ht="15" hidden="false" customHeight="false" outlineLevel="0" collapsed="false">
      <c r="B25" s="6" t="s">
        <v>105</v>
      </c>
      <c r="C25" s="22" t="n">
        <f aca="false">IF(C23&lt;=Inputs!C12,Inputs!C14,IF(C23&gt;=Inputs!C13,Inputs!C15,Inputs!C11/C23))</f>
        <v>0.204659084665678</v>
      </c>
    </row>
    <row r="26" customFormat="false" ht="15" hidden="false" customHeight="false" outlineLevel="0" collapsed="false">
      <c r="B26" s="6" t="s">
        <v>106</v>
      </c>
      <c r="C26" s="26" t="n">
        <f aca="false">C25*C23</f>
        <v>37.25</v>
      </c>
    </row>
    <row r="27" customFormat="false" ht="15" hidden="false" customHeight="false" outlineLevel="0" collapsed="false">
      <c r="B27" s="6" t="s">
        <v>107</v>
      </c>
      <c r="C27" s="23" t="n">
        <f aca="false">C18*C23</f>
        <v>37.25</v>
      </c>
    </row>
    <row r="28" customFormat="false" ht="15" hidden="false" customHeight="false" outlineLevel="0" collapsed="false">
      <c r="B28" s="6" t="s">
        <v>98</v>
      </c>
      <c r="C28" s="23" t="n">
        <f aca="false">Inputs!C11</f>
        <v>37.25</v>
      </c>
    </row>
    <row r="29" customFormat="false" ht="15" hidden="false" customHeight="false" outlineLevel="0" collapsed="false">
      <c r="B29" s="6" t="s">
        <v>108</v>
      </c>
      <c r="C29" s="23" t="n">
        <f aca="false">C26-C27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6"/>
    <col collapsed="false" customWidth="true" hidden="false" outlineLevel="0" max="6" min="3" style="0" width="14"/>
    <col collapsed="false" customWidth="true" hidden="false" outlineLevel="0" max="8" min="7" style="0" width="16"/>
  </cols>
  <sheetData>
    <row r="2" customFormat="false" ht="17.35" hidden="false" customHeight="false" outlineLevel="0" collapsed="false">
      <c r="B2" s="1" t="s">
        <v>8</v>
      </c>
    </row>
    <row r="3" customFormat="false" ht="15" hidden="false" customHeight="false" outlineLevel="0" collapsed="false">
      <c r="B3" s="2" t="s">
        <v>109</v>
      </c>
    </row>
    <row r="5" customFormat="false" ht="23.85" hidden="false" customHeight="false" outlineLevel="0" collapsed="false">
      <c r="B5" s="9" t="s">
        <v>103</v>
      </c>
      <c r="C5" s="10" t="s">
        <v>104</v>
      </c>
      <c r="D5" s="10" t="s">
        <v>110</v>
      </c>
      <c r="E5" s="10" t="s">
        <v>111</v>
      </c>
      <c r="F5" s="10" t="s">
        <v>112</v>
      </c>
      <c r="G5" s="10" t="s">
        <v>113</v>
      </c>
      <c r="H5" s="10" t="s">
        <v>114</v>
      </c>
    </row>
    <row r="6" customFormat="false" ht="15" hidden="false" customHeight="false" outlineLevel="0" collapsed="false">
      <c r="B6" s="25" t="n">
        <v>100</v>
      </c>
      <c r="C6" s="28" t="str">
        <f aca="false">IF(B6&lt;=Inputs!$C$12,"Below",IF(B6&gt;=Inputs!$C$13,"Above","Inside"))</f>
        <v>Below</v>
      </c>
      <c r="D6" s="22" t="n">
        <f aca="false">IF(B6&lt;=Inputs!$C$12,Inputs!$C$14,IF(B6&gt;=Inputs!$C$13,Inputs!$C$15,Inputs!$C$11/B6))</f>
        <v>0.25</v>
      </c>
      <c r="E6" s="23" t="n">
        <f aca="false">D6*B6</f>
        <v>25</v>
      </c>
      <c r="F6" s="23" t="n">
        <f aca="false">Pricer!$C$18*B6</f>
        <v>20.4659084665678</v>
      </c>
      <c r="G6" s="23" t="n">
        <f aca="false">Inputs!$C$11</f>
        <v>37.25</v>
      </c>
      <c r="H6" s="23" t="n">
        <f aca="false">E6-F6</f>
        <v>4.53409153343223</v>
      </c>
    </row>
    <row r="7" customFormat="false" ht="15" hidden="false" customHeight="false" outlineLevel="0" collapsed="false">
      <c r="B7" s="25" t="n">
        <v>105</v>
      </c>
      <c r="C7" s="28" t="str">
        <f aca="false">IF(B7&lt;=Inputs!$C$12,"Below",IF(B7&gt;=Inputs!$C$13,"Above","Inside"))</f>
        <v>Below</v>
      </c>
      <c r="D7" s="22" t="n">
        <f aca="false">IF(B7&lt;=Inputs!$C$12,Inputs!$C$14,IF(B7&gt;=Inputs!$C$13,Inputs!$C$15,Inputs!$C$11/B7))</f>
        <v>0.25</v>
      </c>
      <c r="E7" s="23" t="n">
        <f aca="false">D7*B7</f>
        <v>26.25</v>
      </c>
      <c r="F7" s="23" t="n">
        <f aca="false">Pricer!$C$18*B7</f>
        <v>21.4892038898962</v>
      </c>
      <c r="G7" s="23" t="n">
        <f aca="false">Inputs!$C$11</f>
        <v>37.25</v>
      </c>
      <c r="H7" s="23" t="n">
        <f aca="false">E7-F7</f>
        <v>4.76079611010384</v>
      </c>
    </row>
    <row r="8" customFormat="false" ht="15" hidden="false" customHeight="false" outlineLevel="0" collapsed="false">
      <c r="B8" s="25" t="n">
        <v>110</v>
      </c>
      <c r="C8" s="28" t="str">
        <f aca="false">IF(B8&lt;=Inputs!$C$12,"Below",IF(B8&gt;=Inputs!$C$13,"Above","Inside"))</f>
        <v>Below</v>
      </c>
      <c r="D8" s="22" t="n">
        <f aca="false">IF(B8&lt;=Inputs!$C$12,Inputs!$C$14,IF(B8&gt;=Inputs!$C$13,Inputs!$C$15,Inputs!$C$11/B8))</f>
        <v>0.25</v>
      </c>
      <c r="E8" s="23" t="n">
        <f aca="false">D8*B8</f>
        <v>27.5</v>
      </c>
      <c r="F8" s="23" t="n">
        <f aca="false">Pricer!$C$18*B8</f>
        <v>22.5124993132246</v>
      </c>
      <c r="G8" s="23" t="n">
        <f aca="false">Inputs!$C$11</f>
        <v>37.25</v>
      </c>
      <c r="H8" s="23" t="n">
        <f aca="false">E8-F8</f>
        <v>4.98750068677545</v>
      </c>
    </row>
    <row r="9" customFormat="false" ht="15" hidden="false" customHeight="false" outlineLevel="0" collapsed="false">
      <c r="B9" s="25" t="n">
        <v>115</v>
      </c>
      <c r="C9" s="28" t="str">
        <f aca="false">IF(B9&lt;=Inputs!$C$12,"Below",IF(B9&gt;=Inputs!$C$13,"Above","Inside"))</f>
        <v>Below</v>
      </c>
      <c r="D9" s="22" t="n">
        <f aca="false">IF(B9&lt;=Inputs!$C$12,Inputs!$C$14,IF(B9&gt;=Inputs!$C$13,Inputs!$C$15,Inputs!$C$11/B9))</f>
        <v>0.25</v>
      </c>
      <c r="E9" s="23" t="n">
        <f aca="false">D9*B9</f>
        <v>28.75</v>
      </c>
      <c r="F9" s="23" t="n">
        <f aca="false">Pricer!$C$18*B9</f>
        <v>23.5357947365529</v>
      </c>
      <c r="G9" s="23" t="n">
        <f aca="false">Inputs!$C$11</f>
        <v>37.25</v>
      </c>
      <c r="H9" s="23" t="n">
        <f aca="false">E9-F9</f>
        <v>5.21420526344706</v>
      </c>
    </row>
    <row r="10" customFormat="false" ht="15" hidden="false" customHeight="false" outlineLevel="0" collapsed="false">
      <c r="B10" s="25" t="n">
        <v>120</v>
      </c>
      <c r="C10" s="28" t="str">
        <f aca="false">IF(B10&lt;=Inputs!$C$12,"Below",IF(B10&gt;=Inputs!$C$13,"Above","Inside"))</f>
        <v>Below</v>
      </c>
      <c r="D10" s="22" t="n">
        <f aca="false">IF(B10&lt;=Inputs!$C$12,Inputs!$C$14,IF(B10&gt;=Inputs!$C$13,Inputs!$C$15,Inputs!$C$11/B10))</f>
        <v>0.25</v>
      </c>
      <c r="E10" s="23" t="n">
        <f aca="false">D10*B10</f>
        <v>30</v>
      </c>
      <c r="F10" s="23" t="n">
        <f aca="false">Pricer!$C$18*B10</f>
        <v>24.5590901598813</v>
      </c>
      <c r="G10" s="23" t="n">
        <f aca="false">Inputs!$C$11</f>
        <v>37.25</v>
      </c>
      <c r="H10" s="23" t="n">
        <f aca="false">E10-F10</f>
        <v>5.44090984011867</v>
      </c>
    </row>
    <row r="11" customFormat="false" ht="15" hidden="false" customHeight="false" outlineLevel="0" collapsed="false">
      <c r="B11" s="25" t="n">
        <v>125</v>
      </c>
      <c r="C11" s="28" t="str">
        <f aca="false">IF(B11&lt;=Inputs!$C$12,"Below",IF(B11&gt;=Inputs!$C$13,"Above","Inside"))</f>
        <v>Below</v>
      </c>
      <c r="D11" s="22" t="n">
        <f aca="false">IF(B11&lt;=Inputs!$C$12,Inputs!$C$14,IF(B11&gt;=Inputs!$C$13,Inputs!$C$15,Inputs!$C$11/B11))</f>
        <v>0.25</v>
      </c>
      <c r="E11" s="23" t="n">
        <f aca="false">D11*B11</f>
        <v>31.25</v>
      </c>
      <c r="F11" s="23" t="n">
        <f aca="false">Pricer!$C$18*B11</f>
        <v>25.5823855832097</v>
      </c>
      <c r="G11" s="23" t="n">
        <f aca="false">Inputs!$C$11</f>
        <v>37.25</v>
      </c>
      <c r="H11" s="23" t="n">
        <f aca="false">E11-F11</f>
        <v>5.66761441679028</v>
      </c>
    </row>
    <row r="12" customFormat="false" ht="15" hidden="false" customHeight="false" outlineLevel="0" collapsed="false">
      <c r="B12" s="25" t="n">
        <v>130</v>
      </c>
      <c r="C12" s="28" t="str">
        <f aca="false">IF(B12&lt;=Inputs!$C$12,"Below",IF(B12&gt;=Inputs!$C$13,"Above","Inside"))</f>
        <v>Below</v>
      </c>
      <c r="D12" s="22" t="n">
        <f aca="false">IF(B12&lt;=Inputs!$C$12,Inputs!$C$14,IF(B12&gt;=Inputs!$C$13,Inputs!$C$15,Inputs!$C$11/B12))</f>
        <v>0.25</v>
      </c>
      <c r="E12" s="23" t="n">
        <f aca="false">D12*B12</f>
        <v>32.5</v>
      </c>
      <c r="F12" s="23" t="n">
        <f aca="false">Pricer!$C$18*B12</f>
        <v>26.6056810065381</v>
      </c>
      <c r="G12" s="23" t="n">
        <f aca="false">Inputs!$C$11</f>
        <v>37.25</v>
      </c>
      <c r="H12" s="23" t="n">
        <f aca="false">E12-F12</f>
        <v>5.89431899346189</v>
      </c>
    </row>
    <row r="13" customFormat="false" ht="15" hidden="false" customHeight="false" outlineLevel="0" collapsed="false">
      <c r="B13" s="25" t="n">
        <v>135</v>
      </c>
      <c r="C13" s="28" t="str">
        <f aca="false">IF(B13&lt;=Inputs!$C$12,"Below",IF(B13&gt;=Inputs!$C$13,"Above","Inside"))</f>
        <v>Below</v>
      </c>
      <c r="D13" s="22" t="n">
        <f aca="false">IF(B13&lt;=Inputs!$C$12,Inputs!$C$14,IF(B13&gt;=Inputs!$C$13,Inputs!$C$15,Inputs!$C$11/B13))</f>
        <v>0.25</v>
      </c>
      <c r="E13" s="23" t="n">
        <f aca="false">D13*B13</f>
        <v>33.75</v>
      </c>
      <c r="F13" s="23" t="n">
        <f aca="false">Pricer!$C$18*B13</f>
        <v>27.6289764298665</v>
      </c>
      <c r="G13" s="23" t="n">
        <f aca="false">Inputs!$C$11</f>
        <v>37.25</v>
      </c>
      <c r="H13" s="23" t="n">
        <f aca="false">E13-F13</f>
        <v>6.12102357013351</v>
      </c>
    </row>
    <row r="14" customFormat="false" ht="15" hidden="false" customHeight="false" outlineLevel="0" collapsed="false">
      <c r="B14" s="25" t="n">
        <v>140</v>
      </c>
      <c r="C14" s="28" t="str">
        <f aca="false">IF(B14&lt;=Inputs!$C$12,"Below",IF(B14&gt;=Inputs!$C$13,"Above","Inside"))</f>
        <v>Below</v>
      </c>
      <c r="D14" s="22" t="n">
        <f aca="false">IF(B14&lt;=Inputs!$C$12,Inputs!$C$14,IF(B14&gt;=Inputs!$C$13,Inputs!$C$15,Inputs!$C$11/B14))</f>
        <v>0.25</v>
      </c>
      <c r="E14" s="23" t="n">
        <f aca="false">D14*B14</f>
        <v>35</v>
      </c>
      <c r="F14" s="23" t="n">
        <f aca="false">Pricer!$C$18*B14</f>
        <v>28.6522718531949</v>
      </c>
      <c r="G14" s="23" t="n">
        <f aca="false">Inputs!$C$11</f>
        <v>37.25</v>
      </c>
      <c r="H14" s="23" t="n">
        <f aca="false">E14-F14</f>
        <v>6.34772814680512</v>
      </c>
    </row>
    <row r="15" customFormat="false" ht="15" hidden="false" customHeight="false" outlineLevel="0" collapsed="false">
      <c r="B15" s="25" t="n">
        <v>145</v>
      </c>
      <c r="C15" s="28" t="str">
        <f aca="false">IF(B15&lt;=Inputs!$C$12,"Below",IF(B15&gt;=Inputs!$C$13,"Above","Inside"))</f>
        <v>Below</v>
      </c>
      <c r="D15" s="22" t="n">
        <f aca="false">IF(B15&lt;=Inputs!$C$12,Inputs!$C$14,IF(B15&gt;=Inputs!$C$13,Inputs!$C$15,Inputs!$C$11/B15))</f>
        <v>0.25</v>
      </c>
      <c r="E15" s="23" t="n">
        <f aca="false">D15*B15</f>
        <v>36.25</v>
      </c>
      <c r="F15" s="23" t="n">
        <f aca="false">Pricer!$C$18*B15</f>
        <v>29.6755672765233</v>
      </c>
      <c r="G15" s="23" t="n">
        <f aca="false">Inputs!$C$11</f>
        <v>37.25</v>
      </c>
      <c r="H15" s="23" t="n">
        <f aca="false">E15-F15</f>
        <v>6.57443272347673</v>
      </c>
    </row>
    <row r="16" customFormat="false" ht="15" hidden="false" customHeight="false" outlineLevel="0" collapsed="false">
      <c r="B16" s="25" t="n">
        <v>150</v>
      </c>
      <c r="C16" s="28" t="str">
        <f aca="false">IF(B16&lt;=Inputs!$C$12,"Below",IF(B16&gt;=Inputs!$C$13,"Above","Inside"))</f>
        <v>Inside</v>
      </c>
      <c r="D16" s="22" t="n">
        <f aca="false">IF(B16&lt;=Inputs!$C$12,Inputs!$C$14,IF(B16&gt;=Inputs!$C$13,Inputs!$C$15,Inputs!$C$11/B16))</f>
        <v>0.248333333333333</v>
      </c>
      <c r="E16" s="23" t="n">
        <f aca="false">D16*B16</f>
        <v>37.25</v>
      </c>
      <c r="F16" s="23" t="n">
        <f aca="false">Pricer!$C$18*B16</f>
        <v>30.6988626998517</v>
      </c>
      <c r="G16" s="23" t="n">
        <f aca="false">Inputs!$C$11</f>
        <v>37.25</v>
      </c>
      <c r="H16" s="23" t="n">
        <f aca="false">E16-F16</f>
        <v>6.55113730014834</v>
      </c>
    </row>
    <row r="17" customFormat="false" ht="15" hidden="false" customHeight="false" outlineLevel="0" collapsed="false">
      <c r="B17" s="25" t="n">
        <v>155</v>
      </c>
      <c r="C17" s="28" t="str">
        <f aca="false">IF(B17&lt;=Inputs!$C$12,"Below",IF(B17&gt;=Inputs!$C$13,"Above","Inside"))</f>
        <v>Inside</v>
      </c>
      <c r="D17" s="22" t="n">
        <f aca="false">IF(B17&lt;=Inputs!$C$12,Inputs!$C$14,IF(B17&gt;=Inputs!$C$13,Inputs!$C$15,Inputs!$C$11/B17))</f>
        <v>0.240322580645161</v>
      </c>
      <c r="E17" s="23" t="n">
        <f aca="false">D17*B17</f>
        <v>37.25</v>
      </c>
      <c r="F17" s="23" t="n">
        <f aca="false">Pricer!$C$18*B17</f>
        <v>31.72215812318</v>
      </c>
      <c r="G17" s="23" t="n">
        <f aca="false">Inputs!$C$11</f>
        <v>37.25</v>
      </c>
      <c r="H17" s="23" t="n">
        <f aca="false">E17-F17</f>
        <v>5.52784187681995</v>
      </c>
    </row>
    <row r="18" customFormat="false" ht="15" hidden="false" customHeight="false" outlineLevel="0" collapsed="false">
      <c r="B18" s="25" t="n">
        <v>160</v>
      </c>
      <c r="C18" s="28" t="str">
        <f aca="false">IF(B18&lt;=Inputs!$C$12,"Below",IF(B18&gt;=Inputs!$C$13,"Above","Inside"))</f>
        <v>Inside</v>
      </c>
      <c r="D18" s="22" t="n">
        <f aca="false">IF(B18&lt;=Inputs!$C$12,Inputs!$C$14,IF(B18&gt;=Inputs!$C$13,Inputs!$C$15,Inputs!$C$11/B18))</f>
        <v>0.2328125</v>
      </c>
      <c r="E18" s="23" t="n">
        <f aca="false">D18*B18</f>
        <v>37.25</v>
      </c>
      <c r="F18" s="23" t="n">
        <f aca="false">Pricer!$C$18*B18</f>
        <v>32.7454535465084</v>
      </c>
      <c r="G18" s="23" t="n">
        <f aca="false">Inputs!$C$11</f>
        <v>37.25</v>
      </c>
      <c r="H18" s="23" t="n">
        <f aca="false">E18-F18</f>
        <v>4.50454645349156</v>
      </c>
    </row>
    <row r="19" customFormat="false" ht="15" hidden="false" customHeight="false" outlineLevel="0" collapsed="false">
      <c r="B19" s="25" t="n">
        <v>165</v>
      </c>
      <c r="C19" s="28" t="str">
        <f aca="false">IF(B19&lt;=Inputs!$C$12,"Below",IF(B19&gt;=Inputs!$C$13,"Above","Inside"))</f>
        <v>Inside</v>
      </c>
      <c r="D19" s="22" t="n">
        <f aca="false">IF(B19&lt;=Inputs!$C$12,Inputs!$C$14,IF(B19&gt;=Inputs!$C$13,Inputs!$C$15,Inputs!$C$11/B19))</f>
        <v>0.225757575757576</v>
      </c>
      <c r="E19" s="23" t="n">
        <f aca="false">D19*B19</f>
        <v>37.25</v>
      </c>
      <c r="F19" s="23" t="n">
        <f aca="false">Pricer!$C$18*B19</f>
        <v>33.7687489698368</v>
      </c>
      <c r="G19" s="23" t="n">
        <f aca="false">Inputs!$C$11</f>
        <v>37.25</v>
      </c>
      <c r="H19" s="23" t="n">
        <f aca="false">E19-F19</f>
        <v>3.48125103016317</v>
      </c>
    </row>
    <row r="20" customFormat="false" ht="15" hidden="false" customHeight="false" outlineLevel="0" collapsed="false">
      <c r="B20" s="25" t="n">
        <v>170</v>
      </c>
      <c r="C20" s="28" t="str">
        <f aca="false">IF(B20&lt;=Inputs!$C$12,"Below",IF(B20&gt;=Inputs!$C$13,"Above","Inside"))</f>
        <v>Inside</v>
      </c>
      <c r="D20" s="22" t="n">
        <f aca="false">IF(B20&lt;=Inputs!$C$12,Inputs!$C$14,IF(B20&gt;=Inputs!$C$13,Inputs!$C$15,Inputs!$C$11/B20))</f>
        <v>0.219117647058824</v>
      </c>
      <c r="E20" s="23" t="n">
        <f aca="false">D20*B20</f>
        <v>37.25</v>
      </c>
      <c r="F20" s="23" t="n">
        <f aca="false">Pricer!$C$18*B20</f>
        <v>34.7920443931652</v>
      </c>
      <c r="G20" s="23" t="n">
        <f aca="false">Inputs!$C$11</f>
        <v>37.25</v>
      </c>
      <c r="H20" s="23" t="n">
        <f aca="false">E20-F20</f>
        <v>2.45795560683479</v>
      </c>
    </row>
    <row r="21" customFormat="false" ht="15" hidden="false" customHeight="false" outlineLevel="0" collapsed="false">
      <c r="B21" s="25" t="n">
        <v>175</v>
      </c>
      <c r="C21" s="28" t="str">
        <f aca="false">IF(B21&lt;=Inputs!$C$12,"Below",IF(B21&gt;=Inputs!$C$13,"Above","Inside"))</f>
        <v>Inside</v>
      </c>
      <c r="D21" s="22" t="n">
        <f aca="false">IF(B21&lt;=Inputs!$C$12,Inputs!$C$14,IF(B21&gt;=Inputs!$C$13,Inputs!$C$15,Inputs!$C$11/B21))</f>
        <v>0.212857142857143</v>
      </c>
      <c r="E21" s="23" t="n">
        <f aca="false">D21*B21</f>
        <v>37.25</v>
      </c>
      <c r="F21" s="23" t="n">
        <f aca="false">Pricer!$C$18*B21</f>
        <v>35.8153398164936</v>
      </c>
      <c r="G21" s="23" t="n">
        <f aca="false">Inputs!$C$11</f>
        <v>37.25</v>
      </c>
      <c r="H21" s="23" t="n">
        <f aca="false">E21-F21</f>
        <v>1.4346601835064</v>
      </c>
    </row>
    <row r="22" customFormat="false" ht="15" hidden="false" customHeight="false" outlineLevel="0" collapsed="false">
      <c r="B22" s="25" t="n">
        <v>180</v>
      </c>
      <c r="C22" s="28" t="str">
        <f aca="false">IF(B22&lt;=Inputs!$C$12,"Below",IF(B22&gt;=Inputs!$C$13,"Above","Inside"))</f>
        <v>Inside</v>
      </c>
      <c r="D22" s="22" t="n">
        <f aca="false">IF(B22&lt;=Inputs!$C$12,Inputs!$C$14,IF(B22&gt;=Inputs!$C$13,Inputs!$C$15,Inputs!$C$11/B22))</f>
        <v>0.206944444444444</v>
      </c>
      <c r="E22" s="23" t="n">
        <f aca="false">D22*B22</f>
        <v>37.25</v>
      </c>
      <c r="F22" s="23" t="n">
        <f aca="false">Pricer!$C$18*B22</f>
        <v>36.838635239822</v>
      </c>
      <c r="G22" s="23" t="n">
        <f aca="false">Inputs!$C$11</f>
        <v>37.25</v>
      </c>
      <c r="H22" s="23" t="n">
        <f aca="false">E22-F22</f>
        <v>0.41136476017801</v>
      </c>
    </row>
    <row r="23" customFormat="false" ht="15" hidden="false" customHeight="false" outlineLevel="0" collapsed="false">
      <c r="B23" s="25" t="n">
        <v>185</v>
      </c>
      <c r="C23" s="28" t="str">
        <f aca="false">IF(B23&lt;=Inputs!$C$12,"Below",IF(B23&gt;=Inputs!$C$13,"Above","Inside"))</f>
        <v>Inside</v>
      </c>
      <c r="D23" s="22" t="n">
        <f aca="false">IF(B23&lt;=Inputs!$C$12,Inputs!$C$14,IF(B23&gt;=Inputs!$C$13,Inputs!$C$15,Inputs!$C$11/B23))</f>
        <v>0.201351351351351</v>
      </c>
      <c r="E23" s="23" t="n">
        <f aca="false">D23*B23</f>
        <v>37.25</v>
      </c>
      <c r="F23" s="23" t="n">
        <f aca="false">Pricer!$C$18*B23</f>
        <v>37.8619306631504</v>
      </c>
      <c r="G23" s="23" t="n">
        <f aca="false">Inputs!$C$11</f>
        <v>37.25</v>
      </c>
      <c r="H23" s="23" t="n">
        <f aca="false">E23-F23</f>
        <v>-0.611930663150382</v>
      </c>
    </row>
    <row r="24" customFormat="false" ht="15" hidden="false" customHeight="false" outlineLevel="0" collapsed="false">
      <c r="B24" s="25" t="n">
        <v>190</v>
      </c>
      <c r="C24" s="28" t="str">
        <f aca="false">IF(B24&lt;=Inputs!$C$12,"Below",IF(B24&gt;=Inputs!$C$13,"Above","Inside"))</f>
        <v>Inside</v>
      </c>
      <c r="D24" s="22" t="n">
        <f aca="false">IF(B24&lt;=Inputs!$C$12,Inputs!$C$14,IF(B24&gt;=Inputs!$C$13,Inputs!$C$15,Inputs!$C$11/B24))</f>
        <v>0.196052631578947</v>
      </c>
      <c r="E24" s="23" t="n">
        <f aca="false">D24*B24</f>
        <v>37.25</v>
      </c>
      <c r="F24" s="23" t="n">
        <f aca="false">Pricer!$C$18*B24</f>
        <v>38.8852260864788</v>
      </c>
      <c r="G24" s="23" t="n">
        <f aca="false">Inputs!$C$11</f>
        <v>37.25</v>
      </c>
      <c r="H24" s="23" t="n">
        <f aca="false">E24-F24</f>
        <v>-1.63522608647877</v>
      </c>
    </row>
    <row r="25" customFormat="false" ht="15" hidden="false" customHeight="false" outlineLevel="0" collapsed="false">
      <c r="B25" s="25" t="n">
        <v>195</v>
      </c>
      <c r="C25" s="28" t="str">
        <f aca="false">IF(B25&lt;=Inputs!$C$12,"Below",IF(B25&gt;=Inputs!$C$13,"Above","Inside"))</f>
        <v>Inside</v>
      </c>
      <c r="D25" s="22" t="n">
        <f aca="false">IF(B25&lt;=Inputs!$C$12,Inputs!$C$14,IF(B25&gt;=Inputs!$C$13,Inputs!$C$15,Inputs!$C$11/B25))</f>
        <v>0.191025641025641</v>
      </c>
      <c r="E25" s="23" t="n">
        <f aca="false">D25*B25</f>
        <v>37.25</v>
      </c>
      <c r="F25" s="23" t="n">
        <f aca="false">Pricer!$C$18*B25</f>
        <v>39.9085215098072</v>
      </c>
      <c r="G25" s="23" t="n">
        <f aca="false">Inputs!$C$11</f>
        <v>37.25</v>
      </c>
      <c r="H25" s="23" t="n">
        <f aca="false">E25-F25</f>
        <v>-2.65852150980716</v>
      </c>
    </row>
    <row r="26" customFormat="false" ht="15" hidden="false" customHeight="false" outlineLevel="0" collapsed="false">
      <c r="B26" s="25" t="n">
        <v>200</v>
      </c>
      <c r="C26" s="28" t="str">
        <f aca="false">IF(B26&lt;=Inputs!$C$12,"Below",IF(B26&gt;=Inputs!$C$13,"Above","Inside"))</f>
        <v>Inside</v>
      </c>
      <c r="D26" s="22" t="n">
        <f aca="false">IF(B26&lt;=Inputs!$C$12,Inputs!$C$14,IF(B26&gt;=Inputs!$C$13,Inputs!$C$15,Inputs!$C$11/B26))</f>
        <v>0.18625</v>
      </c>
      <c r="E26" s="23" t="n">
        <f aca="false">D26*B26</f>
        <v>37.25</v>
      </c>
      <c r="F26" s="23" t="n">
        <f aca="false">Pricer!$C$18*B26</f>
        <v>40.9318169331355</v>
      </c>
      <c r="G26" s="23" t="n">
        <f aca="false">Inputs!$C$11</f>
        <v>37.25</v>
      </c>
      <c r="H26" s="23" t="n">
        <f aca="false">E26-F26</f>
        <v>-3.68181693313554</v>
      </c>
    </row>
    <row r="27" customFormat="false" ht="15" hidden="false" customHeight="false" outlineLevel="0" collapsed="false">
      <c r="B27" s="25" t="n">
        <v>205</v>
      </c>
      <c r="C27" s="28" t="str">
        <f aca="false">IF(B27&lt;=Inputs!$C$12,"Below",IF(B27&gt;=Inputs!$C$13,"Above","Inside"))</f>
        <v>Inside</v>
      </c>
      <c r="D27" s="22" t="n">
        <f aca="false">IF(B27&lt;=Inputs!$C$12,Inputs!$C$14,IF(B27&gt;=Inputs!$C$13,Inputs!$C$15,Inputs!$C$11/B27))</f>
        <v>0.181707317073171</v>
      </c>
      <c r="E27" s="23" t="n">
        <f aca="false">D27*B27</f>
        <v>37.25</v>
      </c>
      <c r="F27" s="23" t="n">
        <f aca="false">Pricer!$C$18*B27</f>
        <v>41.9551123564639</v>
      </c>
      <c r="G27" s="23" t="n">
        <f aca="false">Inputs!$C$11</f>
        <v>37.25</v>
      </c>
      <c r="H27" s="23" t="n">
        <f aca="false">E27-F27</f>
        <v>-4.70511235646394</v>
      </c>
    </row>
    <row r="28" customFormat="false" ht="15" hidden="false" customHeight="false" outlineLevel="0" collapsed="false">
      <c r="B28" s="25" t="n">
        <v>210</v>
      </c>
      <c r="C28" s="28" t="str">
        <f aca="false">IF(B28&lt;=Inputs!$C$12,"Below",IF(B28&gt;=Inputs!$C$13,"Above","Inside"))</f>
        <v>Above</v>
      </c>
      <c r="D28" s="22" t="n">
        <f aca="false">IF(B28&lt;=Inputs!$C$12,Inputs!$C$14,IF(B28&gt;=Inputs!$C$13,Inputs!$C$15,Inputs!$C$11/B28))</f>
        <v>0.18</v>
      </c>
      <c r="E28" s="23" t="n">
        <f aca="false">D28*B28</f>
        <v>37.8</v>
      </c>
      <c r="F28" s="23" t="n">
        <f aca="false">Pricer!$C$18*B28</f>
        <v>42.9784077797923</v>
      </c>
      <c r="G28" s="23" t="n">
        <f aca="false">Inputs!$C$11</f>
        <v>37.25</v>
      </c>
      <c r="H28" s="23" t="n">
        <f aca="false">E28-F28</f>
        <v>-5.17840777979232</v>
      </c>
    </row>
    <row r="29" customFormat="false" ht="15" hidden="false" customHeight="false" outlineLevel="0" collapsed="false">
      <c r="B29" s="25" t="n">
        <v>215</v>
      </c>
      <c r="C29" s="28" t="str">
        <f aca="false">IF(B29&lt;=Inputs!$C$12,"Below",IF(B29&gt;=Inputs!$C$13,"Above","Inside"))</f>
        <v>Above</v>
      </c>
      <c r="D29" s="22" t="n">
        <f aca="false">IF(B29&lt;=Inputs!$C$12,Inputs!$C$14,IF(B29&gt;=Inputs!$C$13,Inputs!$C$15,Inputs!$C$11/B29))</f>
        <v>0.18</v>
      </c>
      <c r="E29" s="23" t="n">
        <f aca="false">D29*B29</f>
        <v>38.7</v>
      </c>
      <c r="F29" s="23" t="n">
        <f aca="false">Pricer!$C$18*B29</f>
        <v>44.0017032031207</v>
      </c>
      <c r="G29" s="23" t="n">
        <f aca="false">Inputs!$C$11</f>
        <v>37.25</v>
      </c>
      <c r="H29" s="23" t="n">
        <f aca="false">E29-F29</f>
        <v>-5.30170320312072</v>
      </c>
    </row>
    <row r="30" customFormat="false" ht="15" hidden="false" customHeight="false" outlineLevel="0" collapsed="false">
      <c r="B30" s="25" t="n">
        <v>220</v>
      </c>
      <c r="C30" s="28" t="str">
        <f aca="false">IF(B30&lt;=Inputs!$C$12,"Below",IF(B30&gt;=Inputs!$C$13,"Above","Inside"))</f>
        <v>Above</v>
      </c>
      <c r="D30" s="22" t="n">
        <f aca="false">IF(B30&lt;=Inputs!$C$12,Inputs!$C$14,IF(B30&gt;=Inputs!$C$13,Inputs!$C$15,Inputs!$C$11/B30))</f>
        <v>0.18</v>
      </c>
      <c r="E30" s="23" t="n">
        <f aca="false">D30*B30</f>
        <v>39.6</v>
      </c>
      <c r="F30" s="23" t="n">
        <f aca="false">Pricer!$C$18*B30</f>
        <v>45.0249986264491</v>
      </c>
      <c r="G30" s="23" t="n">
        <f aca="false">Inputs!$C$11</f>
        <v>37.25</v>
      </c>
      <c r="H30" s="23" t="n">
        <f aca="false">E30-F30</f>
        <v>-5.4249986264491</v>
      </c>
    </row>
    <row r="31" customFormat="false" ht="15" hidden="false" customHeight="false" outlineLevel="0" collapsed="false">
      <c r="B31" s="25" t="n">
        <v>225</v>
      </c>
      <c r="C31" s="28" t="str">
        <f aca="false">IF(B31&lt;=Inputs!$C$12,"Below",IF(B31&gt;=Inputs!$C$13,"Above","Inside"))</f>
        <v>Above</v>
      </c>
      <c r="D31" s="22" t="n">
        <f aca="false">IF(B31&lt;=Inputs!$C$12,Inputs!$C$14,IF(B31&gt;=Inputs!$C$13,Inputs!$C$15,Inputs!$C$11/B31))</f>
        <v>0.18</v>
      </c>
      <c r="E31" s="23" t="n">
        <f aca="false">D31*B31</f>
        <v>40.5</v>
      </c>
      <c r="F31" s="23" t="n">
        <f aca="false">Pricer!$C$18*B31</f>
        <v>46.0482940497775</v>
      </c>
      <c r="G31" s="23" t="n">
        <f aca="false">Inputs!$C$11</f>
        <v>37.25</v>
      </c>
      <c r="H31" s="23" t="n">
        <f aca="false">E31-F31</f>
        <v>-5.54829404977749</v>
      </c>
    </row>
    <row r="32" customFormat="false" ht="15" hidden="false" customHeight="false" outlineLevel="0" collapsed="false">
      <c r="B32" s="25" t="n">
        <v>230</v>
      </c>
      <c r="C32" s="28" t="str">
        <f aca="false">IF(B32&lt;=Inputs!$C$12,"Below",IF(B32&gt;=Inputs!$C$13,"Above","Inside"))</f>
        <v>Above</v>
      </c>
      <c r="D32" s="22" t="n">
        <f aca="false">IF(B32&lt;=Inputs!$C$12,Inputs!$C$14,IF(B32&gt;=Inputs!$C$13,Inputs!$C$15,Inputs!$C$11/B32))</f>
        <v>0.18</v>
      </c>
      <c r="E32" s="23" t="n">
        <f aca="false">D32*B32</f>
        <v>41.4</v>
      </c>
      <c r="F32" s="23" t="n">
        <f aca="false">Pricer!$C$18*B32</f>
        <v>47.0715894731059</v>
      </c>
      <c r="G32" s="23" t="n">
        <f aca="false">Inputs!$C$11</f>
        <v>37.25</v>
      </c>
      <c r="H32" s="23" t="n">
        <f aca="false">E32-F32</f>
        <v>-5.67158947310588</v>
      </c>
    </row>
    <row r="33" customFormat="false" ht="15" hidden="false" customHeight="false" outlineLevel="0" collapsed="false">
      <c r="B33" s="25" t="n">
        <v>235</v>
      </c>
      <c r="C33" s="28" t="str">
        <f aca="false">IF(B33&lt;=Inputs!$C$12,"Below",IF(B33&gt;=Inputs!$C$13,"Above","Inside"))</f>
        <v>Above</v>
      </c>
      <c r="D33" s="22" t="n">
        <f aca="false">IF(B33&lt;=Inputs!$C$12,Inputs!$C$14,IF(B33&gt;=Inputs!$C$13,Inputs!$C$15,Inputs!$C$11/B33))</f>
        <v>0.18</v>
      </c>
      <c r="E33" s="23" t="n">
        <f aca="false">D33*B33</f>
        <v>42.3</v>
      </c>
      <c r="F33" s="23" t="n">
        <f aca="false">Pricer!$C$18*B33</f>
        <v>48.0948848964343</v>
      </c>
      <c r="G33" s="23" t="n">
        <f aca="false">Inputs!$C$11</f>
        <v>37.25</v>
      </c>
      <c r="H33" s="23" t="n">
        <f aca="false">E33-F33</f>
        <v>-5.79488489643427</v>
      </c>
    </row>
    <row r="34" customFormat="false" ht="15" hidden="false" customHeight="false" outlineLevel="0" collapsed="false">
      <c r="B34" s="25" t="n">
        <v>240</v>
      </c>
      <c r="C34" s="28" t="str">
        <f aca="false">IF(B34&lt;=Inputs!$C$12,"Below",IF(B34&gt;=Inputs!$C$13,"Above","Inside"))</f>
        <v>Above</v>
      </c>
      <c r="D34" s="22" t="n">
        <f aca="false">IF(B34&lt;=Inputs!$C$12,Inputs!$C$14,IF(B34&gt;=Inputs!$C$13,Inputs!$C$15,Inputs!$C$11/B34))</f>
        <v>0.18</v>
      </c>
      <c r="E34" s="23" t="n">
        <f aca="false">D34*B34</f>
        <v>43.2</v>
      </c>
      <c r="F34" s="23" t="n">
        <f aca="false">Pricer!$C$18*B34</f>
        <v>49.1181803197627</v>
      </c>
      <c r="G34" s="23" t="n">
        <f aca="false">Inputs!$C$11</f>
        <v>37.25</v>
      </c>
      <c r="H34" s="23" t="n">
        <f aca="false">E34-F34</f>
        <v>-5.91818031976266</v>
      </c>
    </row>
    <row r="35" customFormat="false" ht="15" hidden="false" customHeight="false" outlineLevel="0" collapsed="false">
      <c r="B35" s="25" t="n">
        <v>245</v>
      </c>
      <c r="C35" s="28" t="str">
        <f aca="false">IF(B35&lt;=Inputs!$C$12,"Below",IF(B35&gt;=Inputs!$C$13,"Above","Inside"))</f>
        <v>Above</v>
      </c>
      <c r="D35" s="22" t="n">
        <f aca="false">IF(B35&lt;=Inputs!$C$12,Inputs!$C$14,IF(B35&gt;=Inputs!$C$13,Inputs!$C$15,Inputs!$C$11/B35))</f>
        <v>0.18</v>
      </c>
      <c r="E35" s="23" t="n">
        <f aca="false">D35*B35</f>
        <v>44.1</v>
      </c>
      <c r="F35" s="23" t="n">
        <f aca="false">Pricer!$C$18*B35</f>
        <v>50.141475743091</v>
      </c>
      <c r="G35" s="23" t="n">
        <f aca="false">Inputs!$C$11</f>
        <v>37.25</v>
      </c>
      <c r="H35" s="23" t="n">
        <f aca="false">E35-F35</f>
        <v>-6.04147574309104</v>
      </c>
    </row>
    <row r="36" customFormat="false" ht="15" hidden="false" customHeight="false" outlineLevel="0" collapsed="false">
      <c r="B36" s="25" t="n">
        <v>250</v>
      </c>
      <c r="C36" s="28" t="str">
        <f aca="false">IF(B36&lt;=Inputs!$C$12,"Below",IF(B36&gt;=Inputs!$C$13,"Above","Inside"))</f>
        <v>Above</v>
      </c>
      <c r="D36" s="22" t="n">
        <f aca="false">IF(B36&lt;=Inputs!$C$12,Inputs!$C$14,IF(B36&gt;=Inputs!$C$13,Inputs!$C$15,Inputs!$C$11/B36))</f>
        <v>0.18</v>
      </c>
      <c r="E36" s="23" t="n">
        <f aca="false">D36*B36</f>
        <v>45</v>
      </c>
      <c r="F36" s="23" t="n">
        <f aca="false">Pricer!$C$18*B36</f>
        <v>51.1647711664194</v>
      </c>
      <c r="G36" s="23" t="n">
        <f aca="false">Inputs!$C$11</f>
        <v>37.25</v>
      </c>
      <c r="H36" s="23" t="n">
        <f aca="false">E36-F36</f>
        <v>-6.16477116641944</v>
      </c>
    </row>
    <row r="37" customFormat="false" ht="15" hidden="false" customHeight="false" outlineLevel="0" collapsed="false">
      <c r="B37" s="25" t="n">
        <v>255</v>
      </c>
      <c r="C37" s="28" t="str">
        <f aca="false">IF(B37&lt;=Inputs!$C$12,"Below",IF(B37&gt;=Inputs!$C$13,"Above","Inside"))</f>
        <v>Above</v>
      </c>
      <c r="D37" s="22" t="n">
        <f aca="false">IF(B37&lt;=Inputs!$C$12,Inputs!$C$14,IF(B37&gt;=Inputs!$C$13,Inputs!$C$15,Inputs!$C$11/B37))</f>
        <v>0.18</v>
      </c>
      <c r="E37" s="23" t="n">
        <f aca="false">D37*B37</f>
        <v>45.9</v>
      </c>
      <c r="F37" s="23" t="n">
        <f aca="false">Pricer!$C$18*B37</f>
        <v>52.1880665897478</v>
      </c>
      <c r="G37" s="23" t="n">
        <f aca="false">Inputs!$C$11</f>
        <v>37.25</v>
      </c>
      <c r="H37" s="23" t="n">
        <f aca="false">E37-F37</f>
        <v>-6.28806658974782</v>
      </c>
    </row>
    <row r="38" customFormat="false" ht="15" hidden="false" customHeight="false" outlineLevel="0" collapsed="false">
      <c r="B38" s="25" t="n">
        <v>260</v>
      </c>
      <c r="C38" s="28" t="str">
        <f aca="false">IF(B38&lt;=Inputs!$C$12,"Below",IF(B38&gt;=Inputs!$C$13,"Above","Inside"))</f>
        <v>Above</v>
      </c>
      <c r="D38" s="22" t="n">
        <f aca="false">IF(B38&lt;=Inputs!$C$12,Inputs!$C$14,IF(B38&gt;=Inputs!$C$13,Inputs!$C$15,Inputs!$C$11/B38))</f>
        <v>0.18</v>
      </c>
      <c r="E38" s="23" t="n">
        <f aca="false">D38*B38</f>
        <v>46.8</v>
      </c>
      <c r="F38" s="23" t="n">
        <f aca="false">Pricer!$C$18*B38</f>
        <v>53.2113620130762</v>
      </c>
      <c r="G38" s="23" t="n">
        <f aca="false">Inputs!$C$11</f>
        <v>37.25</v>
      </c>
      <c r="H38" s="23" t="n">
        <f aca="false">E38-F38</f>
        <v>-6.41136201307621</v>
      </c>
    </row>
    <row r="39" customFormat="false" ht="15" hidden="false" customHeight="false" outlineLevel="0" collapsed="false">
      <c r="B39" s="25" t="n">
        <v>265</v>
      </c>
      <c r="C39" s="28" t="str">
        <f aca="false">IF(B39&lt;=Inputs!$C$12,"Below",IF(B39&gt;=Inputs!$C$13,"Above","Inside"))</f>
        <v>Above</v>
      </c>
      <c r="D39" s="22" t="n">
        <f aca="false">IF(B39&lt;=Inputs!$C$12,Inputs!$C$14,IF(B39&gt;=Inputs!$C$13,Inputs!$C$15,Inputs!$C$11/B39))</f>
        <v>0.18</v>
      </c>
      <c r="E39" s="23" t="n">
        <f aca="false">D39*B39</f>
        <v>47.7</v>
      </c>
      <c r="F39" s="23" t="n">
        <f aca="false">Pricer!$C$18*B39</f>
        <v>54.2346574364046</v>
      </c>
      <c r="G39" s="23" t="n">
        <f aca="false">Inputs!$C$11</f>
        <v>37.25</v>
      </c>
      <c r="H39" s="23" t="n">
        <f aca="false">E39-F39</f>
        <v>-6.5346574364046</v>
      </c>
    </row>
    <row r="40" customFormat="false" ht="15" hidden="false" customHeight="false" outlineLevel="0" collapsed="false">
      <c r="B40" s="25" t="n">
        <v>270</v>
      </c>
      <c r="C40" s="28" t="str">
        <f aca="false">IF(B40&lt;=Inputs!$C$12,"Below",IF(B40&gt;=Inputs!$C$13,"Above","Inside"))</f>
        <v>Above</v>
      </c>
      <c r="D40" s="22" t="n">
        <f aca="false">IF(B40&lt;=Inputs!$C$12,Inputs!$C$14,IF(B40&gt;=Inputs!$C$13,Inputs!$C$15,Inputs!$C$11/B40))</f>
        <v>0.18</v>
      </c>
      <c r="E40" s="23" t="n">
        <f aca="false">D40*B40</f>
        <v>48.6</v>
      </c>
      <c r="F40" s="23" t="n">
        <f aca="false">Pricer!$C$18*B40</f>
        <v>55.257952859733</v>
      </c>
      <c r="G40" s="23" t="n">
        <f aca="false">Inputs!$C$11</f>
        <v>37.25</v>
      </c>
      <c r="H40" s="23" t="n">
        <f aca="false">E40-F40</f>
        <v>-6.65795285973299</v>
      </c>
    </row>
    <row r="41" customFormat="false" ht="15" hidden="false" customHeight="false" outlineLevel="0" collapsed="false">
      <c r="B41" s="25" t="n">
        <v>275</v>
      </c>
      <c r="C41" s="28" t="str">
        <f aca="false">IF(B41&lt;=Inputs!$C$12,"Below",IF(B41&gt;=Inputs!$C$13,"Above","Inside"))</f>
        <v>Above</v>
      </c>
      <c r="D41" s="22" t="n">
        <f aca="false">IF(B41&lt;=Inputs!$C$12,Inputs!$C$14,IF(B41&gt;=Inputs!$C$13,Inputs!$C$15,Inputs!$C$11/B41))</f>
        <v>0.18</v>
      </c>
      <c r="E41" s="23" t="n">
        <f aca="false">D41*B41</f>
        <v>49.5</v>
      </c>
      <c r="F41" s="23" t="n">
        <f aca="false">Pricer!$C$18*B41</f>
        <v>56.2812482830614</v>
      </c>
      <c r="G41" s="23" t="n">
        <f aca="false">Inputs!$C$11</f>
        <v>37.25</v>
      </c>
      <c r="H41" s="23" t="n">
        <f aca="false">E41-F41</f>
        <v>-6.78124828306137</v>
      </c>
    </row>
    <row r="42" customFormat="false" ht="15" hidden="false" customHeight="false" outlineLevel="0" collapsed="false">
      <c r="B42" s="25" t="n">
        <v>280</v>
      </c>
      <c r="C42" s="28" t="str">
        <f aca="false">IF(B42&lt;=Inputs!$C$12,"Below",IF(B42&gt;=Inputs!$C$13,"Above","Inside"))</f>
        <v>Above</v>
      </c>
      <c r="D42" s="22" t="n">
        <f aca="false">IF(B42&lt;=Inputs!$C$12,Inputs!$C$14,IF(B42&gt;=Inputs!$C$13,Inputs!$C$15,Inputs!$C$11/B42))</f>
        <v>0.18</v>
      </c>
      <c r="E42" s="23" t="n">
        <f aca="false">D42*B42</f>
        <v>50.4</v>
      </c>
      <c r="F42" s="23" t="n">
        <f aca="false">Pricer!$C$18*B42</f>
        <v>57.3045437063898</v>
      </c>
      <c r="G42" s="23" t="n">
        <f aca="false">Inputs!$C$11</f>
        <v>37.25</v>
      </c>
      <c r="H42" s="23" t="n">
        <f aca="false">E42-F42</f>
        <v>-6.90454370638977</v>
      </c>
    </row>
  </sheetData>
  <conditionalFormatting sqref="H6:H42">
    <cfRule type="cellIs" priority="2" operator="lessThan" aboveAverage="0" equalAverage="0" bottom="0" percent="0" rank="0" text="" dxfId="0">
      <formula>-0.005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6"/>
    <col collapsed="false" customWidth="true" hidden="false" outlineLevel="0" max="15" min="3" style="0" width="10"/>
  </cols>
  <sheetData>
    <row r="2" customFormat="false" ht="17.35" hidden="false" customHeight="false" outlineLevel="0" collapsed="false">
      <c r="B2" s="1" t="s">
        <v>10</v>
      </c>
    </row>
    <row r="3" customFormat="false" ht="15" hidden="false" customHeight="false" outlineLevel="0" collapsed="false">
      <c r="B3" s="2" t="s">
        <v>115</v>
      </c>
    </row>
    <row r="5" customFormat="false" ht="15" hidden="false" customHeight="false" outlineLevel="0" collapsed="false">
      <c r="B5" s="5" t="s">
        <v>116</v>
      </c>
      <c r="C5" s="29" t="n">
        <v>1</v>
      </c>
      <c r="D5" s="29" t="n">
        <v>1.025</v>
      </c>
      <c r="E5" s="29" t="n">
        <v>1.05</v>
      </c>
      <c r="F5" s="29" t="n">
        <v>1.075</v>
      </c>
      <c r="G5" s="29" t="n">
        <v>1.1</v>
      </c>
      <c r="H5" s="29" t="n">
        <v>1.125</v>
      </c>
      <c r="I5" s="29" t="n">
        <v>1.15</v>
      </c>
      <c r="J5" s="29" t="n">
        <v>1.175</v>
      </c>
      <c r="K5" s="29" t="n">
        <v>1.2</v>
      </c>
      <c r="L5" s="29" t="n">
        <v>1.225</v>
      </c>
      <c r="M5" s="29" t="n">
        <v>1.25</v>
      </c>
      <c r="N5" s="29" t="n">
        <v>1.275</v>
      </c>
      <c r="O5" s="29" t="n">
        <v>1.3</v>
      </c>
    </row>
    <row r="6" customFormat="false" ht="15" hidden="false" customHeight="false" outlineLevel="0" collapsed="false">
      <c r="B6" s="29" t="n">
        <v>0.7</v>
      </c>
      <c r="C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40.416970733035</v>
      </c>
      <c r="D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39.8605014742455</v>
      </c>
      <c r="E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39.3558675526252</v>
      </c>
      <c r="F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38.8986574219726</v>
      </c>
      <c r="G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38.4847814685633</v>
      </c>
      <c r="H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38.1104536754839</v>
      </c>
      <c r="I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37.7721743791813</v>
      </c>
      <c r="J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37.4667138132746</v>
      </c>
      <c r="K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37.1910962523752</v>
      </c>
      <c r="L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36.9425846526358</v>
      </c>
      <c r="M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36.7186657435753</v>
      </c>
      <c r="N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36.5170355636211</v>
      </c>
      <c r="O6" s="23" t="n">
        <f aca="false">Inputs!$C$11*Inputs!$C$30-Inputs!$C$11/($B6*Inputs!$C$23)*(($B6*Inputs!$C$23)*Inputs!$C$30*NORMSDIST(-(((LN(Inputs!$C$24/($B6*Inputs!$C$23))+(Inputs!$C$25+Inputs!$C$29^2/2)*Inputs!$C$22)/(Inputs!$C$29*SQRT(Inputs!$C$22)))-Inputs!$C$29*SQRT(Inputs!$C$22)))-Inputs!$C$24*NORMSDIST(-((LN(Inputs!$C$24/($B6*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36.3355854548187</v>
      </c>
    </row>
    <row r="7" customFormat="false" ht="15" hidden="false" customHeight="false" outlineLevel="0" collapsed="false">
      <c r="B7" s="29" t="n">
        <v>0.725</v>
      </c>
      <c r="C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40.2604031895599</v>
      </c>
      <c r="D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39.7039339307705</v>
      </c>
      <c r="E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39.1993000091502</v>
      </c>
      <c r="F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38.7420898784976</v>
      </c>
      <c r="G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38.3282139250883</v>
      </c>
      <c r="H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37.9538861320089</v>
      </c>
      <c r="I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37.6156068357063</v>
      </c>
      <c r="J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37.3101462697996</v>
      </c>
      <c r="K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37.0345287089002</v>
      </c>
      <c r="L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36.7860171091608</v>
      </c>
      <c r="M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36.5620982001003</v>
      </c>
      <c r="N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36.3604680201461</v>
      </c>
      <c r="O7" s="23" t="n">
        <f aca="false">Inputs!$C$11*Inputs!$C$30-Inputs!$C$11/($B7*Inputs!$C$23)*(($B7*Inputs!$C$23)*Inputs!$C$30*NORMSDIST(-(((LN(Inputs!$C$24/($B7*Inputs!$C$23))+(Inputs!$C$25+Inputs!$C$29^2/2)*Inputs!$C$22)/(Inputs!$C$29*SQRT(Inputs!$C$22)))-Inputs!$C$29*SQRT(Inputs!$C$22)))-Inputs!$C$24*NORMSDIST(-((LN(Inputs!$C$24/($B7*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36.1790179113437</v>
      </c>
    </row>
    <row r="8" customFormat="false" ht="15" hidden="false" customHeight="false" outlineLevel="0" collapsed="false">
      <c r="B8" s="29" t="n">
        <v>0.75</v>
      </c>
      <c r="C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40.0835967022529</v>
      </c>
      <c r="D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39.5271274434635</v>
      </c>
      <c r="E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39.0224935218431</v>
      </c>
      <c r="F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38.5652833911906</v>
      </c>
      <c r="G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38.1514074377813</v>
      </c>
      <c r="H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37.7770796447018</v>
      </c>
      <c r="I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37.4388003483992</v>
      </c>
      <c r="J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37.1333397824926</v>
      </c>
      <c r="K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36.8577222215931</v>
      </c>
      <c r="L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36.6092106218537</v>
      </c>
      <c r="M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36.3852917127933</v>
      </c>
      <c r="N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36.183661532839</v>
      </c>
      <c r="O8" s="23" t="n">
        <f aca="false">Inputs!$C$11*Inputs!$C$30-Inputs!$C$11/($B8*Inputs!$C$23)*(($B8*Inputs!$C$23)*Inputs!$C$30*NORMSDIST(-(((LN(Inputs!$C$24/($B8*Inputs!$C$23))+(Inputs!$C$25+Inputs!$C$29^2/2)*Inputs!$C$22)/(Inputs!$C$29*SQRT(Inputs!$C$22)))-Inputs!$C$29*SQRT(Inputs!$C$22)))-Inputs!$C$24*NORMSDIST(-((LN(Inputs!$C$24/($B8*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36.0022114240366</v>
      </c>
    </row>
    <row r="9" customFormat="false" ht="15" hidden="false" customHeight="false" outlineLevel="0" collapsed="false">
      <c r="B9" s="29" t="n">
        <v>0.775</v>
      </c>
      <c r="C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39.8865187405085</v>
      </c>
      <c r="D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39.330049481719</v>
      </c>
      <c r="E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38.8254155600987</v>
      </c>
      <c r="F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38.3682054294461</v>
      </c>
      <c r="G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37.9543294760368</v>
      </c>
      <c r="H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37.5800016829574</v>
      </c>
      <c r="I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37.2417223866548</v>
      </c>
      <c r="J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36.9362618207481</v>
      </c>
      <c r="K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36.6606442598487</v>
      </c>
      <c r="L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36.4121326601093</v>
      </c>
      <c r="M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36.1882137510488</v>
      </c>
      <c r="N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35.9865835710946</v>
      </c>
      <c r="O9" s="23" t="n">
        <f aca="false">Inputs!$C$11*Inputs!$C$30-Inputs!$C$11/($B9*Inputs!$C$23)*(($B9*Inputs!$C$23)*Inputs!$C$30*NORMSDIST(-(((LN(Inputs!$C$24/($B9*Inputs!$C$23))+(Inputs!$C$25+Inputs!$C$29^2/2)*Inputs!$C$22)/(Inputs!$C$29*SQRT(Inputs!$C$22)))-Inputs!$C$29*SQRT(Inputs!$C$22)))-Inputs!$C$24*NORMSDIST(-((LN(Inputs!$C$24/($B9*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35.8051334622922</v>
      </c>
    </row>
    <row r="10" customFormat="false" ht="15" hidden="false" customHeight="false" outlineLevel="0" collapsed="false">
      <c r="B10" s="29" t="n">
        <v>0.8</v>
      </c>
      <c r="C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39.6694211177346</v>
      </c>
      <c r="D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39.1129518589452</v>
      </c>
      <c r="E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38.6083179373249</v>
      </c>
      <c r="F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38.1511078066723</v>
      </c>
      <c r="G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37.737231853263</v>
      </c>
      <c r="H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37.3629040601836</v>
      </c>
      <c r="I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37.024624763881</v>
      </c>
      <c r="J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36.7191641979743</v>
      </c>
      <c r="K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36.4435466370749</v>
      </c>
      <c r="L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36.1950350373355</v>
      </c>
      <c r="M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35.971116128275</v>
      </c>
      <c r="N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35.7694859483208</v>
      </c>
      <c r="O10" s="23" t="n">
        <f aca="false">Inputs!$C$11*Inputs!$C$30-Inputs!$C$11/($B10*Inputs!$C$23)*(($B10*Inputs!$C$23)*Inputs!$C$30*NORMSDIST(-(((LN(Inputs!$C$24/($B10*Inputs!$C$23))+(Inputs!$C$25+Inputs!$C$29^2/2)*Inputs!$C$22)/(Inputs!$C$29*SQRT(Inputs!$C$22)))-Inputs!$C$29*SQRT(Inputs!$C$22)))-Inputs!$C$24*NORMSDIST(-((LN(Inputs!$C$24/($B10*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35.5880358395184</v>
      </c>
    </row>
    <row r="11" customFormat="false" ht="15" hidden="false" customHeight="false" outlineLevel="0" collapsed="false">
      <c r="B11" s="29" t="n">
        <v>0.825</v>
      </c>
      <c r="C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39.4328159369836</v>
      </c>
      <c r="D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38.8763466781942</v>
      </c>
      <c r="E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38.3717127565739</v>
      </c>
      <c r="F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37.9145026259213</v>
      </c>
      <c r="G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37.500626672512</v>
      </c>
      <c r="H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37.1262988794326</v>
      </c>
      <c r="I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36.78801958313</v>
      </c>
      <c r="J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36.4825590172233</v>
      </c>
      <c r="K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36.2069414563239</v>
      </c>
      <c r="L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35.9584298565845</v>
      </c>
      <c r="M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35.734510947524</v>
      </c>
      <c r="N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35.5328807675698</v>
      </c>
      <c r="O11" s="23" t="n">
        <f aca="false">Inputs!$C$11*Inputs!$C$30-Inputs!$C$11/($B11*Inputs!$C$23)*(($B11*Inputs!$C$23)*Inputs!$C$30*NORMSDIST(-(((LN(Inputs!$C$24/($B11*Inputs!$C$23))+(Inputs!$C$25+Inputs!$C$29^2/2)*Inputs!$C$22)/(Inputs!$C$29*SQRT(Inputs!$C$22)))-Inputs!$C$29*SQRT(Inputs!$C$22)))-Inputs!$C$24*NORMSDIST(-((LN(Inputs!$C$24/($B11*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35.3514306587674</v>
      </c>
    </row>
    <row r="12" customFormat="false" ht="15" hidden="false" customHeight="false" outlineLevel="0" collapsed="false">
      <c r="B12" s="29" t="n">
        <v>0.85</v>
      </c>
      <c r="C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39.1774459741187</v>
      </c>
      <c r="D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38.6209767153292</v>
      </c>
      <c r="E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38.1163427937089</v>
      </c>
      <c r="F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37.6591326630563</v>
      </c>
      <c r="G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37.245256709647</v>
      </c>
      <c r="H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36.8709289165676</v>
      </c>
      <c r="I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36.532649620265</v>
      </c>
      <c r="J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36.2271890543583</v>
      </c>
      <c r="K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35.9515714934589</v>
      </c>
      <c r="L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35.7030598937195</v>
      </c>
      <c r="M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35.479140984659</v>
      </c>
      <c r="N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35.2775108047048</v>
      </c>
      <c r="O12" s="23" t="n">
        <f aca="false">Inputs!$C$11*Inputs!$C$30-Inputs!$C$11/($B12*Inputs!$C$23)*(($B12*Inputs!$C$23)*Inputs!$C$30*NORMSDIST(-(((LN(Inputs!$C$24/($B12*Inputs!$C$23))+(Inputs!$C$25+Inputs!$C$29^2/2)*Inputs!$C$22)/(Inputs!$C$29*SQRT(Inputs!$C$22)))-Inputs!$C$29*SQRT(Inputs!$C$22)))-Inputs!$C$24*NORMSDIST(-((LN(Inputs!$C$24/($B12*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35.0960606959024</v>
      </c>
    </row>
    <row r="13" customFormat="false" ht="15" hidden="false" customHeight="false" outlineLevel="0" collapsed="false">
      <c r="B13" s="29" t="n">
        <v>0.875</v>
      </c>
      <c r="C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38.9042515987989</v>
      </c>
      <c r="D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38.3477823400095</v>
      </c>
      <c r="E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37.8431484183892</v>
      </c>
      <c r="F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37.3859382877366</v>
      </c>
      <c r="G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36.9720623343273</v>
      </c>
      <c r="H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36.5977345412478</v>
      </c>
      <c r="I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36.2594552449452</v>
      </c>
      <c r="J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35.9539946790386</v>
      </c>
      <c r="K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35.6783771181392</v>
      </c>
      <c r="L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35.4298655183998</v>
      </c>
      <c r="M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35.2059466093393</v>
      </c>
      <c r="N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35.0043164293851</v>
      </c>
      <c r="O13" s="23" t="n">
        <f aca="false">Inputs!$C$11*Inputs!$C$30-Inputs!$C$11/($B13*Inputs!$C$23)*(($B13*Inputs!$C$23)*Inputs!$C$30*NORMSDIST(-(((LN(Inputs!$C$24/($B13*Inputs!$C$23))+(Inputs!$C$25+Inputs!$C$29^2/2)*Inputs!$C$22)/(Inputs!$C$29*SQRT(Inputs!$C$22)))-Inputs!$C$29*SQRT(Inputs!$C$22)))-Inputs!$C$24*NORMSDIST(-((LN(Inputs!$C$24/($B13*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34.8228663205826</v>
      </c>
    </row>
    <row r="14" customFormat="false" ht="15" hidden="false" customHeight="false" outlineLevel="0" collapsed="false">
      <c r="B14" s="29" t="n">
        <v>0.9</v>
      </c>
      <c r="C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38.6143360865752</v>
      </c>
      <c r="D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38.0578668277857</v>
      </c>
      <c r="E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37.5532329061654</v>
      </c>
      <c r="F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37.0960227755128</v>
      </c>
      <c r="G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36.6821468221035</v>
      </c>
      <c r="H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36.3078190290241</v>
      </c>
      <c r="I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35.9695397327215</v>
      </c>
      <c r="J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35.6640791668148</v>
      </c>
      <c r="K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35.3884616059154</v>
      </c>
      <c r="L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35.139950006176</v>
      </c>
      <c r="M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34.9160310971155</v>
      </c>
      <c r="N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34.7144009171613</v>
      </c>
      <c r="O14" s="23" t="n">
        <f aca="false">Inputs!$C$11*Inputs!$C$30-Inputs!$C$11/($B14*Inputs!$C$23)*(($B14*Inputs!$C$23)*Inputs!$C$30*NORMSDIST(-(((LN(Inputs!$C$24/($B14*Inputs!$C$23))+(Inputs!$C$25+Inputs!$C$29^2/2)*Inputs!$C$22)/(Inputs!$C$29*SQRT(Inputs!$C$22)))-Inputs!$C$29*SQRT(Inputs!$C$22)))-Inputs!$C$24*NORMSDIST(-((LN(Inputs!$C$24/($B14*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34.5329508083589</v>
      </c>
    </row>
    <row r="15" customFormat="false" ht="15" hidden="false" customHeight="false" outlineLevel="0" collapsed="false">
      <c r="B15" s="29" t="n">
        <v>0.925</v>
      </c>
      <c r="C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38.3089308774055</v>
      </c>
      <c r="D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37.752461618616</v>
      </c>
      <c r="E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37.2478276969957</v>
      </c>
      <c r="F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36.7906175663431</v>
      </c>
      <c r="G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36.3767416129338</v>
      </c>
      <c r="H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36.0024138198544</v>
      </c>
      <c r="I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35.6641345235518</v>
      </c>
      <c r="J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35.3586739576451</v>
      </c>
      <c r="K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35.0830563967457</v>
      </c>
      <c r="L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34.8345447970063</v>
      </c>
      <c r="M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34.6106258879459</v>
      </c>
      <c r="N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34.4089957079916</v>
      </c>
      <c r="O15" s="23" t="n">
        <f aca="false">Inputs!$C$11*Inputs!$C$30-Inputs!$C$11/($B15*Inputs!$C$23)*(($B15*Inputs!$C$23)*Inputs!$C$30*NORMSDIST(-(((LN(Inputs!$C$24/($B15*Inputs!$C$23))+(Inputs!$C$25+Inputs!$C$29^2/2)*Inputs!$C$22)/(Inputs!$C$29*SQRT(Inputs!$C$22)))-Inputs!$C$29*SQRT(Inputs!$C$22)))-Inputs!$C$24*NORMSDIST(-((LN(Inputs!$C$24/($B15*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34.2275455991892</v>
      </c>
    </row>
    <row r="16" customFormat="false" ht="15" hidden="false" customHeight="false" outlineLevel="0" collapsed="false">
      <c r="B16" s="29" t="n">
        <v>0.95</v>
      </c>
      <c r="C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37.9893620212493</v>
      </c>
      <c r="D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37.4328927624599</v>
      </c>
      <c r="E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36.9282588408395</v>
      </c>
      <c r="F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36.4710487101869</v>
      </c>
      <c r="G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36.0571727567776</v>
      </c>
      <c r="H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35.6828449636982</v>
      </c>
      <c r="I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35.3445656673956</v>
      </c>
      <c r="J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35.039105101489</v>
      </c>
      <c r="K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34.7634875405895</v>
      </c>
      <c r="L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34.5149759408501</v>
      </c>
      <c r="M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34.2910570317897</v>
      </c>
      <c r="N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34.0894268518354</v>
      </c>
      <c r="O16" s="23" t="n">
        <f aca="false">Inputs!$C$11*Inputs!$C$30-Inputs!$C$11/($B16*Inputs!$C$23)*(($B16*Inputs!$C$23)*Inputs!$C$30*NORMSDIST(-(((LN(Inputs!$C$24/($B16*Inputs!$C$23))+(Inputs!$C$25+Inputs!$C$29^2/2)*Inputs!$C$22)/(Inputs!$C$29*SQRT(Inputs!$C$22)))-Inputs!$C$29*SQRT(Inputs!$C$22)))-Inputs!$C$24*NORMSDIST(-((LN(Inputs!$C$24/($B16*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33.907976743033</v>
      </c>
    </row>
    <row r="17" customFormat="false" ht="15" hidden="false" customHeight="false" outlineLevel="0" collapsed="false">
      <c r="B17" s="29" t="n">
        <v>0.975</v>
      </c>
      <c r="C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37.6570187451668</v>
      </c>
      <c r="D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37.1005494863774</v>
      </c>
      <c r="E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36.5959155647571</v>
      </c>
      <c r="F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36.1387054341045</v>
      </c>
      <c r="G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35.7248294806952</v>
      </c>
      <c r="H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35.3505016876158</v>
      </c>
      <c r="I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35.0122223913131</v>
      </c>
      <c r="J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34.7067618254065</v>
      </c>
      <c r="K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34.4311442645071</v>
      </c>
      <c r="L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34.1826326647677</v>
      </c>
      <c r="M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33.9587137557072</v>
      </c>
      <c r="N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33.757083575753</v>
      </c>
      <c r="O17" s="23" t="n">
        <f aca="false">Inputs!$C$11*Inputs!$C$30-Inputs!$C$11/($B17*Inputs!$C$23)*(($B17*Inputs!$C$23)*Inputs!$C$30*NORMSDIST(-(((LN(Inputs!$C$24/($B17*Inputs!$C$23))+(Inputs!$C$25+Inputs!$C$29^2/2)*Inputs!$C$22)/(Inputs!$C$29*SQRT(Inputs!$C$22)))-Inputs!$C$29*SQRT(Inputs!$C$22)))-Inputs!$C$24*NORMSDIST(-((LN(Inputs!$C$24/($B17*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33.5756334669505</v>
      </c>
    </row>
    <row r="18" customFormat="false" ht="15" hidden="false" customHeight="false" outlineLevel="0" collapsed="false">
      <c r="B18" s="29" t="n">
        <v>1</v>
      </c>
      <c r="C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C$5*Inputs!$C$23)*(Inputs!$C$24*NORMSDIST(((LN(Inputs!$C$24/(C$5*Inputs!$C$23))+(Inputs!$C$25+Inputs!$C$29^2/2)*Inputs!$C$22)/(Inputs!$C$29*SQRT(Inputs!$C$22))))-(C$5*Inputs!$C$23)*Inputs!$C$30*NORMSDIST(((LN(Inputs!$C$24/(C$5*Inputs!$C$23))+(Inputs!$C$25+Inputs!$C$29^2/2)*Inputs!$C$22)/(Inputs!$C$29*SQRT(Inputs!$C$22)))-Inputs!$C$29*SQRT(Inputs!$C$22)))</f>
        <v>37.3133247953409</v>
      </c>
      <c r="D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D$5*Inputs!$C$23)*(Inputs!$C$24*NORMSDIST(((LN(Inputs!$C$24/(D$5*Inputs!$C$23))+(Inputs!$C$25+Inputs!$C$29^2/2)*Inputs!$C$22)/(Inputs!$C$29*SQRT(Inputs!$C$22))))-(D$5*Inputs!$C$23)*Inputs!$C$30*NORMSDIST(((LN(Inputs!$C$24/(D$5*Inputs!$C$23))+(Inputs!$C$25+Inputs!$C$29^2/2)*Inputs!$C$22)/(Inputs!$C$29*SQRT(Inputs!$C$22)))-Inputs!$C$29*SQRT(Inputs!$C$22)))</f>
        <v>36.7568555365515</v>
      </c>
      <c r="E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E$5*Inputs!$C$23)*(Inputs!$C$24*NORMSDIST(((LN(Inputs!$C$24/(E$5*Inputs!$C$23))+(Inputs!$C$25+Inputs!$C$29^2/2)*Inputs!$C$22)/(Inputs!$C$29*SQRT(Inputs!$C$22))))-(E$5*Inputs!$C$23)*Inputs!$C$30*NORMSDIST(((LN(Inputs!$C$24/(E$5*Inputs!$C$23))+(Inputs!$C$25+Inputs!$C$29^2/2)*Inputs!$C$22)/(Inputs!$C$29*SQRT(Inputs!$C$22)))-Inputs!$C$29*SQRT(Inputs!$C$22)))</f>
        <v>36.2522216149311</v>
      </c>
      <c r="F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F$5*Inputs!$C$23)*(Inputs!$C$24*NORMSDIST(((LN(Inputs!$C$24/(F$5*Inputs!$C$23))+(Inputs!$C$25+Inputs!$C$29^2/2)*Inputs!$C$22)/(Inputs!$C$29*SQRT(Inputs!$C$22))))-(F$5*Inputs!$C$23)*Inputs!$C$30*NORMSDIST(((LN(Inputs!$C$24/(F$5*Inputs!$C$23))+(Inputs!$C$25+Inputs!$C$29^2/2)*Inputs!$C$22)/(Inputs!$C$29*SQRT(Inputs!$C$22)))-Inputs!$C$29*SQRT(Inputs!$C$22)))</f>
        <v>35.7950114842786</v>
      </c>
      <c r="G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G$5*Inputs!$C$23)*(Inputs!$C$24*NORMSDIST(((LN(Inputs!$C$24/(G$5*Inputs!$C$23))+(Inputs!$C$25+Inputs!$C$29^2/2)*Inputs!$C$22)/(Inputs!$C$29*SQRT(Inputs!$C$22))))-(G$5*Inputs!$C$23)*Inputs!$C$30*NORMSDIST(((LN(Inputs!$C$24/(G$5*Inputs!$C$23))+(Inputs!$C$25+Inputs!$C$29^2/2)*Inputs!$C$22)/(Inputs!$C$29*SQRT(Inputs!$C$22)))-Inputs!$C$29*SQRT(Inputs!$C$22)))</f>
        <v>35.3811355308693</v>
      </c>
      <c r="H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H$5*Inputs!$C$23)*(Inputs!$C$24*NORMSDIST(((LN(Inputs!$C$24/(H$5*Inputs!$C$23))+(Inputs!$C$25+Inputs!$C$29^2/2)*Inputs!$C$22)/(Inputs!$C$29*SQRT(Inputs!$C$22))))-(H$5*Inputs!$C$23)*Inputs!$C$30*NORMSDIST(((LN(Inputs!$C$24/(H$5*Inputs!$C$23))+(Inputs!$C$25+Inputs!$C$29^2/2)*Inputs!$C$22)/(Inputs!$C$29*SQRT(Inputs!$C$22)))-Inputs!$C$29*SQRT(Inputs!$C$22)))</f>
        <v>35.0068077377898</v>
      </c>
      <c r="I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I$5*Inputs!$C$23)*(Inputs!$C$24*NORMSDIST(((LN(Inputs!$C$24/(I$5*Inputs!$C$23))+(Inputs!$C$25+Inputs!$C$29^2/2)*Inputs!$C$22)/(Inputs!$C$29*SQRT(Inputs!$C$22))))-(I$5*Inputs!$C$23)*Inputs!$C$30*NORMSDIST(((LN(Inputs!$C$24/(I$5*Inputs!$C$23))+(Inputs!$C$25+Inputs!$C$29^2/2)*Inputs!$C$22)/(Inputs!$C$29*SQRT(Inputs!$C$22)))-Inputs!$C$29*SQRT(Inputs!$C$22)))</f>
        <v>34.6685284414872</v>
      </c>
      <c r="J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J$5*Inputs!$C$23)*(Inputs!$C$24*NORMSDIST(((LN(Inputs!$C$24/(J$5*Inputs!$C$23))+(Inputs!$C$25+Inputs!$C$29^2/2)*Inputs!$C$22)/(Inputs!$C$29*SQRT(Inputs!$C$22))))-(J$5*Inputs!$C$23)*Inputs!$C$30*NORMSDIST(((LN(Inputs!$C$24/(J$5*Inputs!$C$23))+(Inputs!$C$25+Inputs!$C$29^2/2)*Inputs!$C$22)/(Inputs!$C$29*SQRT(Inputs!$C$22)))-Inputs!$C$29*SQRT(Inputs!$C$22)))</f>
        <v>34.3630678755806</v>
      </c>
      <c r="K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K$5*Inputs!$C$23)*(Inputs!$C$24*NORMSDIST(((LN(Inputs!$C$24/(K$5*Inputs!$C$23))+(Inputs!$C$25+Inputs!$C$29^2/2)*Inputs!$C$22)/(Inputs!$C$29*SQRT(Inputs!$C$22))))-(K$5*Inputs!$C$23)*Inputs!$C$30*NORMSDIST(((LN(Inputs!$C$24/(K$5*Inputs!$C$23))+(Inputs!$C$25+Inputs!$C$29^2/2)*Inputs!$C$22)/(Inputs!$C$29*SQRT(Inputs!$C$22)))-Inputs!$C$29*SQRT(Inputs!$C$22)))</f>
        <v>34.0874503146812</v>
      </c>
      <c r="L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L$5*Inputs!$C$23)*(Inputs!$C$24*NORMSDIST(((LN(Inputs!$C$24/(L$5*Inputs!$C$23))+(Inputs!$C$25+Inputs!$C$29^2/2)*Inputs!$C$22)/(Inputs!$C$29*SQRT(Inputs!$C$22))))-(L$5*Inputs!$C$23)*Inputs!$C$30*NORMSDIST(((LN(Inputs!$C$24/(L$5*Inputs!$C$23))+(Inputs!$C$25+Inputs!$C$29^2/2)*Inputs!$C$22)/(Inputs!$C$29*SQRT(Inputs!$C$22)))-Inputs!$C$29*SQRT(Inputs!$C$22)))</f>
        <v>33.8389387149417</v>
      </c>
      <c r="M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M$5*Inputs!$C$23)*(Inputs!$C$24*NORMSDIST(((LN(Inputs!$C$24/(M$5*Inputs!$C$23))+(Inputs!$C$25+Inputs!$C$29^2/2)*Inputs!$C$22)/(Inputs!$C$29*SQRT(Inputs!$C$22))))-(M$5*Inputs!$C$23)*Inputs!$C$30*NORMSDIST(((LN(Inputs!$C$24/(M$5*Inputs!$C$23))+(Inputs!$C$25+Inputs!$C$29^2/2)*Inputs!$C$22)/(Inputs!$C$29*SQRT(Inputs!$C$22)))-Inputs!$C$29*SQRT(Inputs!$C$22)))</f>
        <v>33.6150198058813</v>
      </c>
      <c r="N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N$5*Inputs!$C$23)*(Inputs!$C$24*NORMSDIST(((LN(Inputs!$C$24/(N$5*Inputs!$C$23))+(Inputs!$C$25+Inputs!$C$29^2/2)*Inputs!$C$22)/(Inputs!$C$29*SQRT(Inputs!$C$22))))-(N$5*Inputs!$C$23)*Inputs!$C$30*NORMSDIST(((LN(Inputs!$C$24/(N$5*Inputs!$C$23))+(Inputs!$C$25+Inputs!$C$29^2/2)*Inputs!$C$22)/(Inputs!$C$29*SQRT(Inputs!$C$22)))-Inputs!$C$29*SQRT(Inputs!$C$22)))</f>
        <v>33.413389625927</v>
      </c>
      <c r="O18" s="23" t="n">
        <f aca="false">Inputs!$C$11*Inputs!$C$30-Inputs!$C$11/($B18*Inputs!$C$23)*(($B18*Inputs!$C$23)*Inputs!$C$30*NORMSDIST(-(((LN(Inputs!$C$24/($B18*Inputs!$C$23))+(Inputs!$C$25+Inputs!$C$29^2/2)*Inputs!$C$22)/(Inputs!$C$29*SQRT(Inputs!$C$22)))-Inputs!$C$29*SQRT(Inputs!$C$22)))-Inputs!$C$24*NORMSDIST(-((LN(Inputs!$C$24/($B18*Inputs!$C$23))+(Inputs!$C$25+Inputs!$C$29^2/2)*Inputs!$C$22)/(Inputs!$C$29*SQRT(Inputs!$C$22)))))+Inputs!$C$11/(O$5*Inputs!$C$23)*(Inputs!$C$24*NORMSDIST(((LN(Inputs!$C$24/(O$5*Inputs!$C$23))+(Inputs!$C$25+Inputs!$C$29^2/2)*Inputs!$C$22)/(Inputs!$C$29*SQRT(Inputs!$C$22))))-(O$5*Inputs!$C$23)*Inputs!$C$30*NORMSDIST(((LN(Inputs!$C$24/(O$5*Inputs!$C$23))+(Inputs!$C$25+Inputs!$C$29^2/2)*Inputs!$C$22)/(Inputs!$C$29*SQRT(Inputs!$C$22)))-Inputs!$C$29*SQRT(Inputs!$C$22)))</f>
        <v>33.2319395171246</v>
      </c>
    </row>
    <row r="20" customFormat="false" ht="15" hidden="false" customHeight="false" outlineLevel="0" collapsed="false">
      <c r="B20" s="2" t="s">
        <v>117</v>
      </c>
    </row>
    <row r="21" customFormat="false" ht="15" hidden="false" customHeight="false" outlineLevel="0" collapsed="false">
      <c r="B21" s="2" t="s">
        <v>118</v>
      </c>
    </row>
    <row r="22" customFormat="false" ht="15" hidden="false" customHeight="false" outlineLevel="0" collapsed="false">
      <c r="B22" s="2" t="s">
        <v>119</v>
      </c>
    </row>
  </sheetData>
  <conditionalFormatting sqref="C6:O18">
    <cfRule type="cellIs" priority="2" operator="greaterThanOrEqual" aboveAverage="0" equalAverage="0" bottom="0" percent="0" rank="0" text="" dxfId="1">
      <formula>Pricer!$C$16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40"/>
    <col collapsed="false" customWidth="true" hidden="false" outlineLevel="0" max="4" min="3" style="0" width="11"/>
    <col collapsed="false" customWidth="true" hidden="false" outlineLevel="0" max="8" min="5" style="0" width="12"/>
    <col collapsed="false" customWidth="true" hidden="false" outlineLevel="0" max="9" min="9" style="0" width="13"/>
    <col collapsed="false" customWidth="true" hidden="false" outlineLevel="0" max="10" min="10" style="0" width="11"/>
  </cols>
  <sheetData>
    <row r="2" customFormat="false" ht="17.35" hidden="false" customHeight="false" outlineLevel="0" collapsed="false">
      <c r="B2" s="1" t="s">
        <v>12</v>
      </c>
    </row>
    <row r="3" customFormat="false" ht="15" hidden="false" customHeight="false" outlineLevel="0" collapsed="false">
      <c r="B3" s="2" t="s">
        <v>120</v>
      </c>
    </row>
    <row r="5" customFormat="false" ht="23.85" hidden="false" customHeight="false" outlineLevel="0" collapsed="false">
      <c r="B5" s="9" t="s">
        <v>121</v>
      </c>
      <c r="C5" s="10" t="s">
        <v>122</v>
      </c>
      <c r="D5" s="10" t="s">
        <v>123</v>
      </c>
      <c r="E5" s="10" t="s">
        <v>124</v>
      </c>
      <c r="F5" s="10" t="s">
        <v>125</v>
      </c>
      <c r="G5" s="10" t="s">
        <v>126</v>
      </c>
      <c r="H5" s="10" t="s">
        <v>127</v>
      </c>
      <c r="I5" s="10" t="s">
        <v>128</v>
      </c>
      <c r="J5" s="10" t="s">
        <v>129</v>
      </c>
    </row>
    <row r="6" customFormat="false" ht="15" hidden="false" customHeight="false" outlineLevel="0" collapsed="false">
      <c r="B6" s="30" t="n">
        <v>45474</v>
      </c>
      <c r="C6" s="25" t="n">
        <v>186.7</v>
      </c>
      <c r="D6" s="25" t="n">
        <v>33.97</v>
      </c>
      <c r="E6" s="25" t="n">
        <v>180.525</v>
      </c>
      <c r="F6" s="23" t="n">
        <f aca="false">IF(E6="","",IF(E6&lt;=Inputs!$C$12,Inputs!$C$14,IF(E6&gt;=Inputs!$C$13,Inputs!$C$15,Inputs!$C$11/E6))*C6)</f>
        <v>38.5241656280294</v>
      </c>
      <c r="G6" s="25" t="n">
        <v>37.326</v>
      </c>
      <c r="H6" s="23" t="n">
        <f aca="false">IF(OR(G6="",D6=""),"",G6-D6)</f>
        <v>3.356</v>
      </c>
      <c r="I6" s="31" t="n">
        <f aca="false">IF(H6="","",(D6-Inputs!$C$8)/(G6-Inputs!$C$8))</f>
        <v>0.615402246160898</v>
      </c>
      <c r="J6" s="32" t="n">
        <f aca="false">IF(C6&lt;=Inputs!$C$12,1,0)</f>
        <v>0</v>
      </c>
    </row>
    <row r="7" customFormat="false" ht="15" hidden="false" customHeight="false" outlineLevel="0" collapsed="false">
      <c r="B7" s="30" t="n">
        <v>45475</v>
      </c>
      <c r="C7" s="25" t="n">
        <v>185.42</v>
      </c>
      <c r="D7" s="25" t="n">
        <v>33.88</v>
      </c>
      <c r="E7" s="25" t="n">
        <v>179.972</v>
      </c>
      <c r="F7" s="23" t="n">
        <f aca="false">IF(E7="","",IF(E7&lt;=Inputs!$C$12,Inputs!$C$14,IF(E7&gt;=Inputs!$C$13,Inputs!$C$15,Inputs!$C$11/E7))*C7)</f>
        <v>38.3776087391372</v>
      </c>
      <c r="G7" s="25"/>
      <c r="H7" s="23" t="str">
        <f aca="false">IF(OR(G7="",D7=""),"",G7-D7)</f>
        <v/>
      </c>
      <c r="I7" s="31" t="str">
        <f aca="false">IF(H7="","",(D7-Inputs!$C$8)/(G7-Inputs!$C$8))</f>
        <v/>
      </c>
      <c r="J7" s="32" t="n">
        <f aca="false">IF(C7&lt;=Inputs!$C$12,1,0)</f>
        <v>0</v>
      </c>
    </row>
    <row r="8" customFormat="false" ht="15" hidden="false" customHeight="false" outlineLevel="0" collapsed="false">
      <c r="B8" s="30" t="n">
        <v>45476</v>
      </c>
      <c r="C8" s="25" t="n">
        <v>184.31</v>
      </c>
      <c r="D8" s="25" t="n">
        <v>33.82</v>
      </c>
      <c r="E8" s="25" t="n">
        <v>180.195</v>
      </c>
      <c r="F8" s="23" t="n">
        <f aca="false">IF(E8="","",IF(E8&lt;=Inputs!$C$12,Inputs!$C$14,IF(E8&gt;=Inputs!$C$13,Inputs!$C$15,Inputs!$C$11/E8))*C8)</f>
        <v>38.1006548461389</v>
      </c>
      <c r="G8" s="25" t="n">
        <v>37.012</v>
      </c>
      <c r="H8" s="23" t="n">
        <f aca="false">IF(OR(G8="",D8=""),"",G8-D8)</f>
        <v>3.192</v>
      </c>
      <c r="I8" s="31" t="n">
        <f aca="false">IF(H8="","",(D8-Inputs!$C$8)/(G8-Inputs!$C$8))</f>
        <v>0.620542082738944</v>
      </c>
      <c r="J8" s="32" t="n">
        <f aca="false">IF(C8&lt;=Inputs!$C$12,1,0)</f>
        <v>0</v>
      </c>
    </row>
    <row r="9" customFormat="false" ht="15" hidden="false" customHeight="false" outlineLevel="0" collapsed="false">
      <c r="B9" s="30" t="n">
        <v>45478</v>
      </c>
      <c r="C9" s="25" t="n">
        <v>184.83</v>
      </c>
      <c r="D9" s="25" t="n">
        <v>34.03</v>
      </c>
      <c r="E9" s="25" t="n">
        <v>179.964</v>
      </c>
      <c r="F9" s="23" t="n">
        <f aca="false">IF(E9="","",IF(E9&lt;=Inputs!$C$12,Inputs!$C$14,IF(E9&gt;=Inputs!$C$13,Inputs!$C$15,Inputs!$C$11/E9))*C9)</f>
        <v>38.2571931052877</v>
      </c>
      <c r="G9" s="25" t="n">
        <v>36.992</v>
      </c>
      <c r="H9" s="23" t="n">
        <f aca="false">IF(OR(G9="",D9=""),"",G9-D9)</f>
        <v>2.962</v>
      </c>
      <c r="I9" s="31" t="n">
        <f aca="false">IF(H9="","",(D9-Inputs!$C$8)/(G9-Inputs!$C$8))</f>
        <v>0.647044804575787</v>
      </c>
      <c r="J9" s="32" t="n">
        <f aca="false">IF(C9&lt;=Inputs!$C$12,1,0)</f>
        <v>0</v>
      </c>
    </row>
    <row r="10" customFormat="false" ht="15" hidden="false" customHeight="false" outlineLevel="0" collapsed="false">
      <c r="B10" s="30" t="n">
        <v>45481</v>
      </c>
      <c r="C10" s="25" t="n">
        <v>185.84</v>
      </c>
      <c r="D10" s="25" t="n">
        <v>34.37</v>
      </c>
      <c r="E10" s="25" t="n">
        <v>179.768</v>
      </c>
      <c r="F10" s="23" t="n">
        <f aca="false">IF(E10="","",IF(E10&lt;=Inputs!$C$12,Inputs!$C$14,IF(E10&gt;=Inputs!$C$13,Inputs!$C$15,Inputs!$C$11/E10))*C10)</f>
        <v>38.5081883316274</v>
      </c>
      <c r="G10" s="25" t="n">
        <v>37.069</v>
      </c>
      <c r="H10" s="23" t="n">
        <f aca="false">IF(OR(G10="",D10=""),"",G10-D10)</f>
        <v>2.69900000000001</v>
      </c>
      <c r="I10" s="31" t="n">
        <f aca="false">IF(H10="","",(D10-Inputs!$C$8)/(G10-Inputs!$C$8))</f>
        <v>0.681308300861967</v>
      </c>
      <c r="J10" s="32" t="n">
        <f aca="false">IF(C10&lt;=Inputs!$C$12,1,0)</f>
        <v>0</v>
      </c>
    </row>
    <row r="11" customFormat="false" ht="15" hidden="false" customHeight="false" outlineLevel="0" collapsed="false">
      <c r="B11" s="30" t="n">
        <v>45482</v>
      </c>
      <c r="C11" s="25" t="n">
        <v>183.24</v>
      </c>
      <c r="D11" s="25" t="n">
        <v>34.51</v>
      </c>
      <c r="E11" s="25" t="n">
        <v>179.696</v>
      </c>
      <c r="F11" s="23" t="n">
        <f aca="false">IF(E11="","",IF(E11&lt;=Inputs!$C$12,Inputs!$C$14,IF(E11&gt;=Inputs!$C$13,Inputs!$C$15,Inputs!$C$11/E11))*C11)</f>
        <v>37.9846518564687</v>
      </c>
      <c r="G11" s="25"/>
      <c r="H11" s="23" t="str">
        <f aca="false">IF(OR(G11="",D11=""),"",G11-D11)</f>
        <v/>
      </c>
      <c r="I11" s="31" t="str">
        <f aca="false">IF(H11="","",(D11-Inputs!$C$8)/(G11-Inputs!$C$8))</f>
        <v/>
      </c>
      <c r="J11" s="32" t="n">
        <f aca="false">IF(C11&lt;=Inputs!$C$12,1,0)</f>
        <v>0</v>
      </c>
    </row>
    <row r="12" customFormat="false" ht="15" hidden="false" customHeight="false" outlineLevel="0" collapsed="false">
      <c r="B12" s="30" t="n">
        <v>45483</v>
      </c>
      <c r="C12" s="25" t="n">
        <v>183.73</v>
      </c>
      <c r="D12" s="25" t="n">
        <v>34.61</v>
      </c>
      <c r="E12" s="25" t="n">
        <v>180.352</v>
      </c>
      <c r="F12" s="23" t="n">
        <f aca="false">IF(E12="","",IF(E12&lt;=Inputs!$C$12,Inputs!$C$14,IF(E12&gt;=Inputs!$C$13,Inputs!$C$15,Inputs!$C$11/E12))*C12)</f>
        <v>37.9476939540454</v>
      </c>
      <c r="G12" s="25" t="n">
        <v>36.915</v>
      </c>
      <c r="H12" s="23" t="n">
        <f aca="false">IF(OR(G12="",D12=""),"",G12-D12)</f>
        <v>2.305</v>
      </c>
      <c r="I12" s="31" t="n">
        <f aca="false">IF(H12="","",(D12-Inputs!$C$8)/(G12-Inputs!$C$8))</f>
        <v>0.722790138304269</v>
      </c>
      <c r="J12" s="32" t="n">
        <f aca="false">IF(C12&lt;=Inputs!$C$12,1,0)</f>
        <v>0</v>
      </c>
    </row>
    <row r="13" customFormat="false" ht="15" hidden="false" customHeight="false" outlineLevel="0" collapsed="false">
      <c r="B13" s="30" t="n">
        <v>45484</v>
      </c>
      <c r="C13" s="25" t="n">
        <v>183.91</v>
      </c>
      <c r="D13" s="25" t="n">
        <v>34.49</v>
      </c>
      <c r="E13" s="25" t="n">
        <v>180.661</v>
      </c>
      <c r="F13" s="23" t="n">
        <f aca="false">IF(E13="","",IF(E13&lt;=Inputs!$C$12,Inputs!$C$14,IF(E13&gt;=Inputs!$C$13,Inputs!$C$15,Inputs!$C$11/E13))*C13)</f>
        <v>37.9199024692656</v>
      </c>
      <c r="G13" s="25"/>
      <c r="H13" s="23" t="str">
        <f aca="false">IF(OR(G13="",D13=""),"",G13-D13)</f>
        <v/>
      </c>
      <c r="I13" s="31" t="str">
        <f aca="false">IF(H13="","",(D13-Inputs!$C$8)/(G13-Inputs!$C$8))</f>
        <v/>
      </c>
      <c r="J13" s="32" t="n">
        <f aca="false">IF(C13&lt;=Inputs!$C$12,1,0)</f>
        <v>0</v>
      </c>
    </row>
    <row r="14" customFormat="false" ht="15" hidden="false" customHeight="false" outlineLevel="0" collapsed="false">
      <c r="B14" s="30" t="n">
        <v>45485</v>
      </c>
      <c r="C14" s="25" t="n">
        <v>182.31</v>
      </c>
      <c r="D14" s="25" t="n">
        <v>34.56</v>
      </c>
      <c r="E14" s="25" t="n">
        <v>180.901</v>
      </c>
      <c r="F14" s="23" t="n">
        <f aca="false">IF(E14="","",IF(E14&lt;=Inputs!$C$12,Inputs!$C$14,IF(E14&gt;=Inputs!$C$13,Inputs!$C$15,Inputs!$C$11/E14))*C14)</f>
        <v>37.5401324481346</v>
      </c>
      <c r="G14" s="25" t="n">
        <v>36.827</v>
      </c>
      <c r="H14" s="23" t="n">
        <f aca="false">IF(OR(G14="",D14=""),"",G14-D14)</f>
        <v>2.267</v>
      </c>
      <c r="I14" s="31" t="n">
        <f aca="false">IF(H14="","",(D14-Inputs!$C$8)/(G14-Inputs!$C$8))</f>
        <v>0.72444390421782</v>
      </c>
      <c r="J14" s="32" t="n">
        <f aca="false">IF(C14&lt;=Inputs!$C$12,1,0)</f>
        <v>0</v>
      </c>
    </row>
    <row r="15" customFormat="false" ht="15" hidden="false" customHeight="false" outlineLevel="0" collapsed="false">
      <c r="B15" s="30" t="n">
        <v>45488</v>
      </c>
      <c r="C15" s="25" t="n">
        <v>179.11</v>
      </c>
      <c r="D15" s="25" t="n">
        <v>34.69</v>
      </c>
      <c r="E15" s="25" t="n">
        <v>181.454</v>
      </c>
      <c r="F15" s="23" t="n">
        <f aca="false">IF(E15="","",IF(E15&lt;=Inputs!$C$12,Inputs!$C$14,IF(E15&gt;=Inputs!$C$13,Inputs!$C$15,Inputs!$C$11/E15))*C15)</f>
        <v>36.7688091747771</v>
      </c>
      <c r="G15" s="25" t="n">
        <v>36.278</v>
      </c>
      <c r="H15" s="23" t="n">
        <f aca="false">IF(OR(G15="",D15=""),"",G15-D15)</f>
        <v>1.588</v>
      </c>
      <c r="I15" s="31" t="n">
        <f aca="false">IF(H15="","",(D15-Inputs!$C$8)/(G15-Inputs!$C$8))</f>
        <v>0.793175306069289</v>
      </c>
      <c r="J15" s="32" t="n">
        <f aca="false">IF(C15&lt;=Inputs!$C$12,1,0)</f>
        <v>0</v>
      </c>
    </row>
    <row r="16" customFormat="false" ht="15" hidden="false" customHeight="false" outlineLevel="0" collapsed="false">
      <c r="B16" s="30" t="n">
        <v>45489</v>
      </c>
      <c r="C16" s="25" t="n">
        <v>186.05</v>
      </c>
      <c r="D16" s="25" t="n">
        <v>35.88</v>
      </c>
      <c r="E16" s="25" t="n">
        <v>181.894</v>
      </c>
      <c r="F16" s="23" t="n">
        <f aca="false">IF(E16="","",IF(E16&lt;=Inputs!$C$12,Inputs!$C$14,IF(E16&gt;=Inputs!$C$13,Inputs!$C$15,Inputs!$C$11/E16))*C16)</f>
        <v>38.1011055889694</v>
      </c>
      <c r="G16" s="25"/>
      <c r="H16" s="23" t="str">
        <f aca="false">IF(OR(G16="",D16=""),"",G16-D16)</f>
        <v/>
      </c>
      <c r="I16" s="31" t="str">
        <f aca="false">IF(H16="","",(D16-Inputs!$C$8)/(G16-Inputs!$C$8))</f>
        <v/>
      </c>
      <c r="J16" s="32" t="n">
        <f aca="false">IF(C16&lt;=Inputs!$C$12,1,0)</f>
        <v>0</v>
      </c>
    </row>
    <row r="17" customFormat="false" ht="15" hidden="false" customHeight="false" outlineLevel="0" collapsed="false">
      <c r="B17" s="30" t="n">
        <v>45490</v>
      </c>
      <c r="C17" s="25" t="n">
        <v>184.84</v>
      </c>
      <c r="D17" s="25" t="n">
        <v>35.65</v>
      </c>
      <c r="E17" s="25" t="n">
        <v>182.297</v>
      </c>
      <c r="F17" s="23" t="n">
        <f aca="false">IF(E17="","",IF(E17&lt;=Inputs!$C$12,Inputs!$C$14,IF(E17&gt;=Inputs!$C$13,Inputs!$C$15,Inputs!$C$11/E17))*C17)</f>
        <v>37.7696286828637</v>
      </c>
      <c r="G17" s="25" t="n">
        <v>37.07</v>
      </c>
      <c r="H17" s="23" t="n">
        <f aca="false">IF(OR(G17="",D17=""),"",G17-D17)</f>
        <v>1.42</v>
      </c>
      <c r="I17" s="31" t="n">
        <f aca="false">IF(H17="","",(D17-Inputs!$C$8)/(G17-Inputs!$C$8))</f>
        <v>0.832349468713105</v>
      </c>
      <c r="J17" s="32" t="n">
        <f aca="false">IF(C17&lt;=Inputs!$C$12,1,0)</f>
        <v>0</v>
      </c>
    </row>
    <row r="18" customFormat="false" ht="15" hidden="false" customHeight="false" outlineLevel="0" collapsed="false">
      <c r="B18" s="30" t="n">
        <v>45491</v>
      </c>
      <c r="C18" s="25" t="n">
        <v>180.23</v>
      </c>
      <c r="D18" s="25" t="n">
        <v>35.05</v>
      </c>
      <c r="E18" s="25" t="n">
        <v>182.797</v>
      </c>
      <c r="F18" s="23" t="n">
        <f aca="false">IF(E18="","",IF(E18&lt;=Inputs!$C$12,Inputs!$C$14,IF(E18&gt;=Inputs!$C$13,Inputs!$C$15,Inputs!$C$11/E18))*C18)</f>
        <v>36.7269019732271</v>
      </c>
      <c r="G18" s="25"/>
      <c r="H18" s="23" t="str">
        <f aca="false">IF(OR(G18="",D18=""),"",G18-D18)</f>
        <v/>
      </c>
      <c r="I18" s="31" t="str">
        <f aca="false">IF(H18="","",(D18-Inputs!$C$8)/(G18-Inputs!$C$8))</f>
        <v/>
      </c>
      <c r="J18" s="32" t="n">
        <f aca="false">IF(C18&lt;=Inputs!$C$12,1,0)</f>
        <v>0</v>
      </c>
    </row>
    <row r="19" customFormat="false" ht="15" hidden="false" customHeight="false" outlineLevel="0" collapsed="false">
      <c r="B19" s="30" t="n">
        <v>45492</v>
      </c>
      <c r="C19" s="25" t="n">
        <v>179.67</v>
      </c>
      <c r="D19" s="25" t="n">
        <v>35.01</v>
      </c>
      <c r="E19" s="25" t="n">
        <v>183.601</v>
      </c>
      <c r="F19" s="23" t="n">
        <f aca="false">IF(E19="","",IF(E19&lt;=Inputs!$C$12,Inputs!$C$14,IF(E19&gt;=Inputs!$C$13,Inputs!$C$15,Inputs!$C$11/E19))*C19)</f>
        <v>36.4524566859658</v>
      </c>
      <c r="G19" s="25" t="n">
        <v>36.273</v>
      </c>
      <c r="H19" s="23" t="n">
        <f aca="false">IF(OR(G19="",D19=""),"",G19-D19)</f>
        <v>1.26300000000001</v>
      </c>
      <c r="I19" s="31" t="n">
        <f aca="false">IF(H19="","",(D19-Inputs!$C$8)/(G19-Inputs!$C$8))</f>
        <v>0.835396846083669</v>
      </c>
      <c r="J19" s="32" t="n">
        <f aca="false">IF(C19&lt;=Inputs!$C$12,1,0)</f>
        <v>0</v>
      </c>
    </row>
    <row r="20" customFormat="false" ht="15" hidden="false" customHeight="false" outlineLevel="0" collapsed="false">
      <c r="B20" s="30" t="n">
        <v>45495</v>
      </c>
      <c r="C20" s="25" t="n">
        <v>178.9</v>
      </c>
      <c r="D20" s="25" t="n">
        <v>35.04</v>
      </c>
      <c r="E20" s="25" t="n">
        <v>184.047</v>
      </c>
      <c r="F20" s="23" t="n">
        <f aca="false">IF(E20="","",IF(E20&lt;=Inputs!$C$12,Inputs!$C$14,IF(E20&gt;=Inputs!$C$13,Inputs!$C$15,Inputs!$C$11/E20))*C20)</f>
        <v>36.2082783202117</v>
      </c>
      <c r="G20" s="25" t="n">
        <v>36.211</v>
      </c>
      <c r="H20" s="23" t="n">
        <f aca="false">IF(OR(G20="",D20=""),"",G20-D20)</f>
        <v>1.171</v>
      </c>
      <c r="I20" s="31" t="n">
        <f aca="false">IF(H20="","",(D20-Inputs!$C$8)/(G20-Inputs!$C$8))</f>
        <v>0.846143739324662</v>
      </c>
      <c r="J20" s="32" t="n">
        <f aca="false">IF(C20&lt;=Inputs!$C$12,1,0)</f>
        <v>0</v>
      </c>
    </row>
    <row r="21" customFormat="false" ht="15" hidden="false" customHeight="false" outlineLevel="0" collapsed="false">
      <c r="B21" s="30" t="n">
        <v>45496</v>
      </c>
      <c r="C21" s="25" t="n">
        <v>186.48</v>
      </c>
      <c r="D21" s="25" t="n">
        <v>35.87</v>
      </c>
      <c r="E21" s="25" t="n">
        <v>184.059</v>
      </c>
      <c r="F21" s="23" t="n">
        <f aca="false">IF(E21="","",IF(E21&lt;=Inputs!$C$12,Inputs!$C$14,IF(E21&gt;=Inputs!$C$13,Inputs!$C$15,Inputs!$C$11/E21))*C21)</f>
        <v>37.7399638159503</v>
      </c>
      <c r="G21" s="25"/>
      <c r="H21" s="23" t="str">
        <f aca="false">IF(OR(G21="",D21=""),"",G21-D21)</f>
        <v/>
      </c>
      <c r="I21" s="31" t="str">
        <f aca="false">IF(H21="","",(D21-Inputs!$C$8)/(G21-Inputs!$C$8))</f>
        <v/>
      </c>
      <c r="J21" s="32" t="n">
        <f aca="false">IF(C21&lt;=Inputs!$C$12,1,0)</f>
        <v>0</v>
      </c>
    </row>
    <row r="22" customFormat="false" ht="15" hidden="false" customHeight="false" outlineLevel="0" collapsed="false">
      <c r="B22" s="30" t="n">
        <v>45497</v>
      </c>
      <c r="C22" s="25" t="n">
        <v>180.07</v>
      </c>
      <c r="D22" s="25" t="n">
        <v>35.22</v>
      </c>
      <c r="E22" s="25" t="n">
        <v>183.907</v>
      </c>
      <c r="F22" s="23" t="n">
        <f aca="false">IF(E22="","",IF(E22&lt;=Inputs!$C$12,Inputs!$C$14,IF(E22&gt;=Inputs!$C$13,Inputs!$C$15,Inputs!$C$11/E22))*C22)</f>
        <v>36.4728232204321</v>
      </c>
      <c r="G22" s="25" t="n">
        <v>36.404</v>
      </c>
      <c r="H22" s="23" t="n">
        <f aca="false">IF(OR(G22="",D22=""),"",G22-D22)</f>
        <v>1.184</v>
      </c>
      <c r="I22" s="31" t="n">
        <f aca="false">IF(H22="","",(D22-Inputs!$C$8)/(G22-Inputs!$C$8))</f>
        <v>0.84828293182983</v>
      </c>
      <c r="J22" s="32" t="n">
        <f aca="false">IF(C22&lt;=Inputs!$C$12,1,0)</f>
        <v>0</v>
      </c>
    </row>
    <row r="23" customFormat="false" ht="15" hidden="false" customHeight="false" outlineLevel="0" collapsed="false">
      <c r="B23" s="30" t="n">
        <v>45498</v>
      </c>
      <c r="C23" s="25" t="n">
        <v>184.35</v>
      </c>
      <c r="D23" s="25" t="n">
        <v>35.51</v>
      </c>
      <c r="E23" s="25" t="n">
        <v>183.676</v>
      </c>
      <c r="F23" s="23" t="n">
        <f aca="false">IF(E23="","",IF(E23&lt;=Inputs!$C$12,Inputs!$C$14,IF(E23&gt;=Inputs!$C$13,Inputs!$C$15,Inputs!$C$11/E23))*C23)</f>
        <v>37.3866890611729</v>
      </c>
      <c r="G23" s="25"/>
      <c r="H23" s="23" t="str">
        <f aca="false">IF(OR(G23="",D23=""),"",G23-D23)</f>
        <v/>
      </c>
      <c r="I23" s="31" t="str">
        <f aca="false">IF(H23="","",(D23-Inputs!$C$8)/(G23-Inputs!$C$8))</f>
        <v/>
      </c>
      <c r="J23" s="32" t="n">
        <f aca="false">IF(C23&lt;=Inputs!$C$12,1,0)</f>
        <v>0</v>
      </c>
    </row>
    <row r="24" customFormat="false" ht="15" hidden="false" customHeight="false" outlineLevel="0" collapsed="false">
      <c r="B24" s="30" t="n">
        <v>45499</v>
      </c>
      <c r="C24" s="25" t="n">
        <v>186.89</v>
      </c>
      <c r="D24" s="25" t="n">
        <v>35.57</v>
      </c>
      <c r="E24" s="25" t="n">
        <v>183.45</v>
      </c>
      <c r="F24" s="23" t="n">
        <f aca="false">IF(E24="","",IF(E24&lt;=Inputs!$C$12,Inputs!$C$14,IF(E24&gt;=Inputs!$C$13,Inputs!$C$15,Inputs!$C$11/E24))*C24)</f>
        <v>37.9485009539384</v>
      </c>
      <c r="G24" s="25" t="n">
        <v>37.352</v>
      </c>
      <c r="H24" s="23" t="n">
        <f aca="false">IF(OR(G24="",D24=""),"",G24-D24)</f>
        <v>1.782</v>
      </c>
      <c r="I24" s="31" t="n">
        <f aca="false">IF(H24="","",(D24-Inputs!$C$8)/(G24-Inputs!$C$8))</f>
        <v>0.796389396709324</v>
      </c>
      <c r="J24" s="32" t="n">
        <f aca="false">IF(C24&lt;=Inputs!$C$12,1,0)</f>
        <v>0</v>
      </c>
    </row>
    <row r="25" customFormat="false" ht="15" hidden="false" customHeight="false" outlineLevel="0" collapsed="false">
      <c r="B25" s="30" t="n">
        <v>45502</v>
      </c>
      <c r="C25" s="25" t="n">
        <v>185.43</v>
      </c>
      <c r="D25" s="25" t="n">
        <v>35.47</v>
      </c>
      <c r="E25" s="25" t="n">
        <v>183.469</v>
      </c>
      <c r="F25" s="23" t="n">
        <f aca="false">IF(E25="","",IF(E25&lt;=Inputs!$C$12,Inputs!$C$14,IF(E25&gt;=Inputs!$C$13,Inputs!$C$15,Inputs!$C$11/E25))*C25)</f>
        <v>37.6481449182151</v>
      </c>
      <c r="G25" s="25" t="n">
        <v>37.103</v>
      </c>
      <c r="H25" s="23" t="n">
        <f aca="false">IF(OR(G25="",D25=""),"",G25-D25)</f>
        <v>1.633</v>
      </c>
      <c r="I25" s="31" t="n">
        <f aca="false">IF(H25="","",(D25-Inputs!$C$8)/(G25-Inputs!$C$8))</f>
        <v>0.807950135246383</v>
      </c>
      <c r="J25" s="32" t="n">
        <f aca="false">IF(C25&lt;=Inputs!$C$12,1,0)</f>
        <v>0</v>
      </c>
    </row>
    <row r="26" customFormat="false" ht="15" hidden="false" customHeight="false" outlineLevel="0" collapsed="false">
      <c r="B26" s="30" t="n">
        <v>45503</v>
      </c>
      <c r="C26" s="25" t="n">
        <v>186.86</v>
      </c>
      <c r="D26" s="25" t="n">
        <v>36.26</v>
      </c>
      <c r="E26" s="25" t="n">
        <v>183.702</v>
      </c>
      <c r="F26" s="23" t="n">
        <f aca="false">IF(E26="","",IF(E26&lt;=Inputs!$C$12,Inputs!$C$14,IF(E26&gt;=Inputs!$C$13,Inputs!$C$15,Inputs!$C$11/E26))*C26)</f>
        <v>37.8903604751173</v>
      </c>
      <c r="G26" s="25"/>
      <c r="H26" s="23" t="str">
        <f aca="false">IF(OR(G26="",D26=""),"",G26-D26)</f>
        <v/>
      </c>
      <c r="I26" s="31" t="str">
        <f aca="false">IF(H26="","",(D26-Inputs!$C$8)/(G26-Inputs!$C$8))</f>
        <v/>
      </c>
      <c r="J26" s="32" t="n">
        <f aca="false">IF(C26&lt;=Inputs!$C$12,1,0)</f>
        <v>0</v>
      </c>
    </row>
    <row r="27" customFormat="false" ht="15" hidden="false" customHeight="false" outlineLevel="0" collapsed="false">
      <c r="B27" s="30" t="n">
        <v>45504</v>
      </c>
      <c r="C27" s="25" t="n">
        <v>190.6</v>
      </c>
      <c r="D27" s="25" t="n">
        <v>36.25</v>
      </c>
      <c r="E27" s="25" t="n">
        <v>183.427</v>
      </c>
      <c r="F27" s="23" t="n">
        <f aca="false">IF(E27="","",IF(E27&lt;=Inputs!$C$12,Inputs!$C$14,IF(E27&gt;=Inputs!$C$13,Inputs!$C$15,Inputs!$C$11/E27))*C27)</f>
        <v>38.7066789512994</v>
      </c>
      <c r="G27" s="25"/>
      <c r="H27" s="23" t="str">
        <f aca="false">IF(OR(G27="",D27=""),"",G27-D27)</f>
        <v/>
      </c>
      <c r="I27" s="31" t="str">
        <f aca="false">IF(H27="","",(D27-Inputs!$C$8)/(G27-Inputs!$C$8))</f>
        <v/>
      </c>
      <c r="J27" s="32" t="n">
        <f aca="false">IF(C27&lt;=Inputs!$C$12,1,0)</f>
        <v>0</v>
      </c>
    </row>
    <row r="28" customFormat="false" ht="15" hidden="false" customHeight="false" outlineLevel="0" collapsed="false">
      <c r="B28" s="30" t="n">
        <v>45505</v>
      </c>
      <c r="C28" s="25" t="n">
        <v>178.31</v>
      </c>
      <c r="D28" s="25" t="n">
        <v>35.28</v>
      </c>
      <c r="E28" s="25" t="n">
        <v>183.585</v>
      </c>
      <c r="F28" s="23" t="n">
        <f aca="false">IF(E28="","",IF(E28&lt;=Inputs!$C$12,Inputs!$C$14,IF(E28&gt;=Inputs!$C$13,Inputs!$C$15,Inputs!$C$11/E28))*C28)</f>
        <v>36.1796851594629</v>
      </c>
      <c r="G28" s="25"/>
      <c r="H28" s="23" t="str">
        <f aca="false">IF(OR(G28="",D28=""),"",G28-D28)</f>
        <v/>
      </c>
      <c r="I28" s="31" t="str">
        <f aca="false">IF(H28="","",(D28-Inputs!$C$8)/(G28-Inputs!$C$8))</f>
        <v/>
      </c>
      <c r="J28" s="32" t="n">
        <f aca="false">IF(C28&lt;=Inputs!$C$12,1,0)</f>
        <v>0</v>
      </c>
    </row>
    <row r="29" customFormat="false" ht="15" hidden="false" customHeight="false" outlineLevel="0" collapsed="false">
      <c r="B29" s="30" t="n">
        <v>45506</v>
      </c>
      <c r="C29" s="25" t="n">
        <v>169.95</v>
      </c>
      <c r="D29" s="25" t="n">
        <v>34.32</v>
      </c>
      <c r="E29" s="25" t="n">
        <v>184.734</v>
      </c>
      <c r="F29" s="23" t="n">
        <f aca="false">IF(E29="","",IF(E29&lt;=Inputs!$C$12,Inputs!$C$14,IF(E29&gt;=Inputs!$C$13,Inputs!$C$15,Inputs!$C$11/E29))*C29)</f>
        <v>34.2689353340479</v>
      </c>
      <c r="G29" s="25"/>
      <c r="H29" s="23" t="str">
        <f aca="false">IF(OR(G29="",D29=""),"",G29-D29)</f>
        <v/>
      </c>
      <c r="I29" s="31" t="str">
        <f aca="false">IF(H29="","",(D29-Inputs!$C$8)/(G29-Inputs!$C$8))</f>
        <v/>
      </c>
      <c r="J29" s="32" t="n">
        <f aca="false">IF(C29&lt;=Inputs!$C$12,1,0)</f>
        <v>0</v>
      </c>
    </row>
    <row r="30" customFormat="false" ht="15" hidden="false" customHeight="false" outlineLevel="0" collapsed="false">
      <c r="B30" s="30" t="n">
        <v>45509</v>
      </c>
      <c r="C30" s="25" t="n">
        <v>167.03</v>
      </c>
      <c r="D30" s="25" t="n">
        <v>33.55</v>
      </c>
      <c r="E30" s="25" t="n">
        <v>184.382</v>
      </c>
      <c r="F30" s="23" t="n">
        <f aca="false">IF(E30="","",IF(E30&lt;=Inputs!$C$12,Inputs!$C$14,IF(E30&gt;=Inputs!$C$13,Inputs!$C$15,Inputs!$C$11/E30))*C30)</f>
        <v>33.7444408890239</v>
      </c>
      <c r="G30" s="25"/>
      <c r="H30" s="23" t="str">
        <f aca="false">IF(OR(G30="",D30=""),"",G30-D30)</f>
        <v/>
      </c>
      <c r="I30" s="31" t="str">
        <f aca="false">IF(H30="","",(D30-Inputs!$C$8)/(G30-Inputs!$C$8))</f>
        <v/>
      </c>
      <c r="J30" s="32" t="n">
        <f aca="false">IF(C30&lt;=Inputs!$C$12,1,0)</f>
        <v>0</v>
      </c>
    </row>
    <row r="31" customFormat="false" ht="15" hidden="false" customHeight="false" outlineLevel="0" collapsed="false">
      <c r="B31" s="30" t="n">
        <v>45510</v>
      </c>
      <c r="C31" s="25" t="n">
        <v>165.04</v>
      </c>
      <c r="D31" s="25" t="n">
        <v>33.45</v>
      </c>
      <c r="E31" s="25" t="n">
        <v>182.999</v>
      </c>
      <c r="F31" s="23" t="n">
        <f aca="false">IF(E31="","",IF(E31&lt;=Inputs!$C$12,Inputs!$C$14,IF(E31&gt;=Inputs!$C$13,Inputs!$C$15,Inputs!$C$11/E31))*C31)</f>
        <v>33.5943912261816</v>
      </c>
      <c r="G31" s="25"/>
      <c r="H31" s="23" t="str">
        <f aca="false">IF(OR(G31="",D31=""),"",G31-D31)</f>
        <v/>
      </c>
      <c r="I31" s="31" t="str">
        <f aca="false">IF(H31="","",(D31-Inputs!$C$8)/(G31-Inputs!$C$8))</f>
        <v/>
      </c>
      <c r="J31" s="32" t="n">
        <f aca="false">IF(C31&lt;=Inputs!$C$12,1,0)</f>
        <v>0</v>
      </c>
    </row>
    <row r="32" customFormat="false" ht="15" hidden="false" customHeight="false" outlineLevel="0" collapsed="false">
      <c r="B32" s="30" t="n">
        <v>45511</v>
      </c>
      <c r="C32" s="25" t="n">
        <v>163.24</v>
      </c>
      <c r="D32" s="25" t="n">
        <v>33.22</v>
      </c>
      <c r="E32" s="25" t="n">
        <v>181.683</v>
      </c>
      <c r="F32" s="23" t="n">
        <f aca="false">IF(E32="","",IF(E32&lt;=Inputs!$C$12,Inputs!$C$14,IF(E32&gt;=Inputs!$C$13,Inputs!$C$15,Inputs!$C$11/E32))*C32)</f>
        <v>33.4686789628089</v>
      </c>
      <c r="G32" s="25"/>
      <c r="H32" s="23" t="str">
        <f aca="false">IF(OR(G32="",D32=""),"",G32-D32)</f>
        <v/>
      </c>
      <c r="I32" s="31" t="str">
        <f aca="false">IF(H32="","",(D32-Inputs!$C$8)/(G32-Inputs!$C$8))</f>
        <v/>
      </c>
      <c r="J32" s="32" t="n">
        <f aca="false">IF(C32&lt;=Inputs!$C$12,1,0)</f>
        <v>0</v>
      </c>
    </row>
    <row r="33" customFormat="false" ht="15" hidden="false" customHeight="false" outlineLevel="0" collapsed="false">
      <c r="B33" s="30" t="n">
        <v>45512</v>
      </c>
      <c r="C33" s="25" t="n">
        <v>168.87</v>
      </c>
      <c r="D33" s="25" t="n">
        <v>33.77</v>
      </c>
      <c r="E33" s="25" t="n">
        <v>180.647</v>
      </c>
      <c r="F33" s="23" t="n">
        <f aca="false">IF(E33="","",IF(E33&lt;=Inputs!$C$12,Inputs!$C$14,IF(E33&gt;=Inputs!$C$13,Inputs!$C$15,Inputs!$C$11/E33))*C33)</f>
        <v>34.8215442271391</v>
      </c>
      <c r="G33" s="25"/>
      <c r="H33" s="23" t="str">
        <f aca="false">IF(OR(G33="",D33=""),"",G33-D33)</f>
        <v/>
      </c>
      <c r="I33" s="31" t="str">
        <f aca="false">IF(H33="","",(D33-Inputs!$C$8)/(G33-Inputs!$C$8))</f>
        <v/>
      </c>
      <c r="J33" s="32" t="n">
        <f aca="false">IF(C33&lt;=Inputs!$C$12,1,0)</f>
        <v>0</v>
      </c>
    </row>
    <row r="34" customFormat="false" ht="15" hidden="false" customHeight="false" outlineLevel="0" collapsed="false">
      <c r="B34" s="30" t="n">
        <v>45513</v>
      </c>
      <c r="C34" s="25" t="n">
        <v>167.91</v>
      </c>
      <c r="D34" s="25" t="n">
        <v>33.85</v>
      </c>
      <c r="E34" s="25" t="n">
        <v>179.692</v>
      </c>
      <c r="F34" s="23" t="n">
        <f aca="false">IF(E34="","",IF(E34&lt;=Inputs!$C$12,Inputs!$C$14,IF(E34&gt;=Inputs!$C$13,Inputs!$C$15,Inputs!$C$11/E34))*C34)</f>
        <v>34.8076013400708</v>
      </c>
      <c r="G34" s="25"/>
      <c r="H34" s="23" t="str">
        <f aca="false">IF(OR(G34="",D34=""),"",G34-D34)</f>
        <v/>
      </c>
      <c r="I34" s="31" t="str">
        <f aca="false">IF(H34="","",(D34-Inputs!$C$8)/(G34-Inputs!$C$8))</f>
        <v/>
      </c>
      <c r="J34" s="32" t="n">
        <f aca="false">IF(C34&lt;=Inputs!$C$12,1,0)</f>
        <v>0</v>
      </c>
    </row>
    <row r="35" customFormat="false" ht="15" hidden="false" customHeight="false" outlineLevel="0" collapsed="false">
      <c r="B35" s="30" t="n">
        <v>45516</v>
      </c>
      <c r="C35" s="25" t="n">
        <v>164.13</v>
      </c>
      <c r="D35" s="25" t="n">
        <v>33.85</v>
      </c>
      <c r="E35" s="25" t="n">
        <v>178.88</v>
      </c>
      <c r="F35" s="23" t="n">
        <f aca="false">IF(E35="","",IF(E35&lt;=Inputs!$C$12,Inputs!$C$14,IF(E35&gt;=Inputs!$C$13,Inputs!$C$15,Inputs!$C$11/E35))*C35)</f>
        <v>34.1784576252236</v>
      </c>
      <c r="G35" s="25" t="n">
        <v>34.014</v>
      </c>
      <c r="H35" s="23" t="n">
        <f aca="false">IF(OR(G35="",D35=""),"",G35-D35)</f>
        <v>0.164000000000001</v>
      </c>
      <c r="I35" s="31" t="n">
        <f aca="false">IF(H35="","",(D35-Inputs!$C$8)/(G35-Inputs!$C$8))</f>
        <v>0.969708164019209</v>
      </c>
      <c r="J35" s="32" t="n">
        <f aca="false">IF(C35&lt;=Inputs!$C$12,1,0)</f>
        <v>0</v>
      </c>
    </row>
    <row r="36" customFormat="false" ht="15" hidden="false" customHeight="false" outlineLevel="0" collapsed="false">
      <c r="B36" s="30" t="n">
        <v>45517</v>
      </c>
      <c r="C36" s="25" t="n">
        <v>168.76</v>
      </c>
      <c r="D36" s="25" t="n">
        <v>34.2</v>
      </c>
      <c r="E36" s="25" t="n">
        <v>178.508</v>
      </c>
      <c r="F36" s="23" t="n">
        <f aca="false">IF(E36="","",IF(E36&lt;=Inputs!$C$12,Inputs!$C$14,IF(E36&gt;=Inputs!$C$13,Inputs!$C$15,Inputs!$C$11/E36))*C36)</f>
        <v>35.2158446680261</v>
      </c>
      <c r="G36" s="25"/>
      <c r="H36" s="23" t="str">
        <f aca="false">IF(OR(G36="",D36=""),"",G36-D36)</f>
        <v/>
      </c>
      <c r="I36" s="31" t="str">
        <f aca="false">IF(H36="","",(D36-Inputs!$C$8)/(G36-Inputs!$C$8))</f>
        <v/>
      </c>
      <c r="J36" s="32" t="n">
        <f aca="false">IF(C36&lt;=Inputs!$C$12,1,0)</f>
        <v>0</v>
      </c>
    </row>
    <row r="37" customFormat="false" ht="15" hidden="false" customHeight="false" outlineLevel="0" collapsed="false">
      <c r="B37" s="30" t="n">
        <v>45518</v>
      </c>
      <c r="C37" s="25" t="n">
        <v>168.5</v>
      </c>
      <c r="D37" s="25" t="n">
        <v>34.21</v>
      </c>
      <c r="E37" s="25" t="n">
        <v>177.88</v>
      </c>
      <c r="F37" s="23" t="n">
        <f aca="false">IF(E37="","",IF(E37&lt;=Inputs!$C$12,Inputs!$C$14,IF(E37&gt;=Inputs!$C$13,Inputs!$C$15,Inputs!$C$11/E37))*C37)</f>
        <v>35.2857263323589</v>
      </c>
      <c r="G37" s="25" t="n">
        <v>34.731</v>
      </c>
      <c r="H37" s="23" t="n">
        <f aca="false">IF(OR(G37="",D37=""),"",G37-D37)</f>
        <v>0.521000000000001</v>
      </c>
      <c r="I37" s="31" t="n">
        <f aca="false">IF(H37="","",(D37-Inputs!$C$8)/(G37-Inputs!$C$8))</f>
        <v>0.915022019246452</v>
      </c>
      <c r="J37" s="32" t="n">
        <f aca="false">IF(C37&lt;=Inputs!$C$12,1,0)</f>
        <v>0</v>
      </c>
    </row>
    <row r="38" customFormat="false" ht="15" hidden="false" customHeight="false" outlineLevel="0" collapsed="false">
      <c r="B38" s="30" t="n">
        <v>45519</v>
      </c>
      <c r="C38" s="25" t="n">
        <v>176.41</v>
      </c>
      <c r="D38" s="25" t="n">
        <v>34.69</v>
      </c>
      <c r="E38" s="25" t="n">
        <v>176.767</v>
      </c>
      <c r="F38" s="23" t="n">
        <f aca="false">IF(E38="","",IF(E38&lt;=Inputs!$C$12,Inputs!$C$14,IF(E38&gt;=Inputs!$C$13,Inputs!$C$15,Inputs!$C$11/E38))*C38)</f>
        <v>37.1747696119751</v>
      </c>
      <c r="G38" s="25"/>
      <c r="H38" s="23" t="str">
        <f aca="false">IF(OR(G38="",D38=""),"",G38-D38)</f>
        <v/>
      </c>
      <c r="I38" s="31" t="str">
        <f aca="false">IF(H38="","",(D38-Inputs!$C$8)/(G38-Inputs!$C$8))</f>
        <v/>
      </c>
      <c r="J38" s="32" t="n">
        <f aca="false">IF(C38&lt;=Inputs!$C$12,1,0)</f>
        <v>0</v>
      </c>
    </row>
    <row r="39" customFormat="false" ht="15" hidden="false" customHeight="false" outlineLevel="0" collapsed="false">
      <c r="B39" s="30" t="n">
        <v>45520</v>
      </c>
      <c r="C39" s="25" t="n">
        <v>179.99</v>
      </c>
      <c r="D39" s="25" t="n">
        <v>35.27</v>
      </c>
      <c r="E39" s="25" t="n">
        <v>176.199</v>
      </c>
      <c r="F39" s="23" t="n">
        <f aca="false">IF(E39="","",IF(E39&lt;=Inputs!$C$12,Inputs!$C$14,IF(E39&gt;=Inputs!$C$13,Inputs!$C$15,Inputs!$C$11/E39))*C39)</f>
        <v>38.0514503487534</v>
      </c>
      <c r="G39" s="25" t="n">
        <v>36.256</v>
      </c>
      <c r="H39" s="23" t="n">
        <f aca="false">IF(OR(G39="",D39=""),"",G39-D39)</f>
        <v>0.985999999999997</v>
      </c>
      <c r="I39" s="31" t="n">
        <f aca="false">IF(H39="","",(D39-Inputs!$C$8)/(G39-Inputs!$C$8))</f>
        <v>0.871212121212122</v>
      </c>
      <c r="J39" s="32" t="n">
        <f aca="false">IF(C39&lt;=Inputs!$C$12,1,0)</f>
        <v>0</v>
      </c>
    </row>
    <row r="40" customFormat="false" ht="15" hidden="false" customHeight="false" outlineLevel="0" collapsed="false">
      <c r="B40" s="30" t="n">
        <v>45523</v>
      </c>
      <c r="C40" s="25" t="n">
        <v>179.64</v>
      </c>
      <c r="D40" s="25" t="n">
        <v>35.13</v>
      </c>
      <c r="E40" s="25" t="n">
        <v>175.644</v>
      </c>
      <c r="F40" s="23" t="n">
        <f aca="false">IF(E40="","",IF(E40&lt;=Inputs!$C$12,Inputs!$C$14,IF(E40&gt;=Inputs!$C$13,Inputs!$C$15,Inputs!$C$11/E40))*C40)</f>
        <v>38.0974584955934</v>
      </c>
      <c r="G40" s="25" t="n">
        <v>36.267</v>
      </c>
      <c r="H40" s="23" t="n">
        <f aca="false">IF(OR(G40="",D40=""),"",G40-D40)</f>
        <v>1.137</v>
      </c>
      <c r="I40" s="31" t="n">
        <f aca="false">IF(H40="","",(D40-Inputs!$C$8)/(G40-Inputs!$C$8))</f>
        <v>0.8517020999087</v>
      </c>
      <c r="J40" s="32" t="n">
        <f aca="false">IF(C40&lt;=Inputs!$C$12,1,0)</f>
        <v>0</v>
      </c>
    </row>
    <row r="41" customFormat="false" ht="15" hidden="false" customHeight="false" outlineLevel="0" collapsed="false">
      <c r="B41" s="30" t="n">
        <v>45524</v>
      </c>
      <c r="C41" s="25" t="n">
        <v>172.1</v>
      </c>
      <c r="D41" s="25" t="n">
        <v>34.63</v>
      </c>
      <c r="E41" s="25" t="n">
        <v>175.192</v>
      </c>
      <c r="F41" s="23" t="n">
        <f aca="false">IF(E41="","",IF(E41&lt;=Inputs!$C$12,Inputs!$C$14,IF(E41&gt;=Inputs!$C$13,Inputs!$C$15,Inputs!$C$11/E41))*C41)</f>
        <v>36.5925670121923</v>
      </c>
      <c r="G41" s="25"/>
      <c r="H41" s="23" t="str">
        <f aca="false">IF(OR(G41="",D41=""),"",G41-D41)</f>
        <v/>
      </c>
      <c r="I41" s="31" t="str">
        <f aca="false">IF(H41="","",(D41-Inputs!$C$8)/(G41-Inputs!$C$8))</f>
        <v/>
      </c>
      <c r="J41" s="32" t="n">
        <f aca="false">IF(C41&lt;=Inputs!$C$12,1,0)</f>
        <v>0</v>
      </c>
    </row>
    <row r="42" customFormat="false" ht="15" hidden="false" customHeight="false" outlineLevel="0" collapsed="false">
      <c r="B42" s="30" t="n">
        <v>45525</v>
      </c>
      <c r="C42" s="25" t="n">
        <v>173.43</v>
      </c>
      <c r="D42" s="25" t="n">
        <v>34.84</v>
      </c>
      <c r="E42" s="25" t="n">
        <v>174.997</v>
      </c>
      <c r="F42" s="23" t="n">
        <f aca="false">IF(E42="","",IF(E42&lt;=Inputs!$C$12,Inputs!$C$14,IF(E42&gt;=Inputs!$C$13,Inputs!$C$15,Inputs!$C$11/E42))*C42)</f>
        <v>36.9164471390938</v>
      </c>
      <c r="G42" s="25" t="n">
        <v>35.513</v>
      </c>
      <c r="H42" s="23" t="n">
        <f aca="false">IF(OR(G42="",D42=""),"",G42-D42)</f>
        <v>0.672999999999995</v>
      </c>
      <c r="I42" s="31" t="n">
        <f aca="false">IF(H42="","",(D42-Inputs!$C$8)/(G42-Inputs!$C$8))</f>
        <v>0.902647186460293</v>
      </c>
      <c r="J42" s="32" t="n">
        <f aca="false">IF(C42&lt;=Inputs!$C$12,1,0)</f>
        <v>0</v>
      </c>
    </row>
    <row r="43" customFormat="false" ht="15" hidden="false" customHeight="false" outlineLevel="0" collapsed="false">
      <c r="B43" s="30" t="n">
        <v>45526</v>
      </c>
      <c r="C43" s="25" t="n">
        <v>172.76</v>
      </c>
      <c r="D43" s="25" t="n">
        <v>34.86</v>
      </c>
      <c r="E43" s="25" t="n">
        <v>174.342</v>
      </c>
      <c r="F43" s="23" t="n">
        <f aca="false">IF(E43="","",IF(E43&lt;=Inputs!$C$12,Inputs!$C$14,IF(E43&gt;=Inputs!$C$13,Inputs!$C$15,Inputs!$C$11/E43))*C43)</f>
        <v>36.9119890789368</v>
      </c>
      <c r="G43" s="25"/>
      <c r="H43" s="23" t="str">
        <f aca="false">IF(OR(G43="",D43=""),"",G43-D43)</f>
        <v/>
      </c>
      <c r="I43" s="31" t="str">
        <f aca="false">IF(H43="","",(D43-Inputs!$C$8)/(G43-Inputs!$C$8))</f>
        <v/>
      </c>
      <c r="J43" s="32" t="n">
        <f aca="false">IF(C43&lt;=Inputs!$C$12,1,0)</f>
        <v>0</v>
      </c>
    </row>
    <row r="44" customFormat="false" ht="15" hidden="false" customHeight="false" outlineLevel="0" collapsed="false">
      <c r="B44" s="30" t="n">
        <v>45527</v>
      </c>
      <c r="C44" s="25" t="n">
        <v>174.96</v>
      </c>
      <c r="D44" s="25" t="n">
        <v>35.15</v>
      </c>
      <c r="E44" s="25" t="n">
        <v>171.803</v>
      </c>
      <c r="F44" s="23" t="n">
        <f aca="false">IF(E44="","",IF(E44&lt;=Inputs!$C$12,Inputs!$C$14,IF(E44&gt;=Inputs!$C$13,Inputs!$C$15,Inputs!$C$11/E44))*C44)</f>
        <v>37.9344947410697</v>
      </c>
      <c r="G44" s="25" t="n">
        <v>35.72</v>
      </c>
      <c r="H44" s="23" t="n">
        <f aca="false">IF(OR(G44="",D44=""),"",G44-D44)</f>
        <v>0.57</v>
      </c>
      <c r="I44" s="31" t="n">
        <f aca="false">IF(H44="","",(D44-Inputs!$C$8)/(G44-Inputs!$C$8))</f>
        <v>0.919943820224719</v>
      </c>
      <c r="J44" s="32" t="n">
        <f aca="false">IF(C44&lt;=Inputs!$C$12,1,0)</f>
        <v>0</v>
      </c>
    </row>
    <row r="45" customFormat="false" ht="15" hidden="false" customHeight="false" outlineLevel="0" collapsed="false">
      <c r="B45" s="30" t="n">
        <v>45530</v>
      </c>
      <c r="C45" s="25" t="n">
        <v>173.48</v>
      </c>
      <c r="D45" s="25" t="n">
        <v>34.84</v>
      </c>
      <c r="E45" s="25" t="n">
        <v>170.283</v>
      </c>
      <c r="F45" s="23" t="n">
        <f aca="false">IF(E45="","",IF(E45&lt;=Inputs!$C$12,Inputs!$C$14,IF(E45&gt;=Inputs!$C$13,Inputs!$C$15,Inputs!$C$11/E45))*C45)</f>
        <v>37.9493548974355</v>
      </c>
      <c r="G45" s="25" t="n">
        <v>35.514</v>
      </c>
      <c r="H45" s="23" t="n">
        <f aca="false">IF(OR(G45="",D45=""),"",G45-D45)</f>
        <v>0.674</v>
      </c>
      <c r="I45" s="31" t="n">
        <f aca="false">IF(H45="","",(D45-Inputs!$C$8)/(G45-Inputs!$C$8))</f>
        <v>0.902516632918716</v>
      </c>
      <c r="J45" s="32" t="n">
        <f aca="false">IF(C45&lt;=Inputs!$C$12,1,0)</f>
        <v>0</v>
      </c>
    </row>
    <row r="46" customFormat="false" ht="15" hidden="false" customHeight="false" outlineLevel="0" collapsed="false">
      <c r="B46" s="30" t="n">
        <v>45531</v>
      </c>
      <c r="C46" s="25" t="n">
        <v>173.05</v>
      </c>
      <c r="D46" s="25" t="n">
        <v>35</v>
      </c>
      <c r="E46" s="25" t="n">
        <v>170.444</v>
      </c>
      <c r="F46" s="23" t="n">
        <f aca="false">IF(E46="","",IF(E46&lt;=Inputs!$C$12,Inputs!$C$14,IF(E46&gt;=Inputs!$C$13,Inputs!$C$15,Inputs!$C$11/E46))*C46)</f>
        <v>37.8195331017812</v>
      </c>
      <c r="G46" s="25"/>
      <c r="H46" s="23" t="str">
        <f aca="false">IF(OR(G46="",D46=""),"",G46-D46)</f>
        <v/>
      </c>
      <c r="I46" s="31" t="str">
        <f aca="false">IF(H46="","",(D46-Inputs!$C$8)/(G46-Inputs!$C$8))</f>
        <v/>
      </c>
      <c r="J46" s="32" t="n">
        <f aca="false">IF(C46&lt;=Inputs!$C$12,1,0)</f>
        <v>0</v>
      </c>
    </row>
    <row r="47" customFormat="false" ht="15" hidden="false" customHeight="false" outlineLevel="0" collapsed="false">
      <c r="B47" s="30" t="n">
        <v>45532</v>
      </c>
      <c r="C47" s="25" t="n">
        <v>170.71</v>
      </c>
      <c r="D47" s="25" t="n">
        <v>34.68</v>
      </c>
      <c r="E47" s="25" t="n">
        <v>171.17</v>
      </c>
      <c r="F47" s="23" t="n">
        <f aca="false">IF(E47="","",IF(E47&lt;=Inputs!$C$12,Inputs!$C$14,IF(E47&gt;=Inputs!$C$13,Inputs!$C$15,Inputs!$C$11/E47))*C47)</f>
        <v>37.1498948413858</v>
      </c>
      <c r="G47" s="25" t="n">
        <v>35.163</v>
      </c>
      <c r="H47" s="23" t="n">
        <f aca="false">IF(OR(G47="",D47=""),"",G47-D47)</f>
        <v>0.482999999999997</v>
      </c>
      <c r="I47" s="31" t="n">
        <f aca="false">IF(H47="","",(D47-Inputs!$C$8)/(G47-Inputs!$C$8))</f>
        <v>0.926405607191833</v>
      </c>
      <c r="J47" s="32" t="n">
        <f aca="false">IF(C47&lt;=Inputs!$C$12,1,0)</f>
        <v>0</v>
      </c>
    </row>
    <row r="48" customFormat="false" ht="15" hidden="false" customHeight="false" outlineLevel="0" collapsed="false">
      <c r="B48" s="30" t="n">
        <v>45533</v>
      </c>
      <c r="C48" s="25" t="n">
        <v>172.26</v>
      </c>
      <c r="D48" s="25" t="n">
        <v>34.94</v>
      </c>
      <c r="E48" s="25" t="n">
        <v>171.647</v>
      </c>
      <c r="F48" s="23" t="n">
        <f aca="false">IF(E48="","",IF(E48&lt;=Inputs!$C$12,Inputs!$C$14,IF(E48&gt;=Inputs!$C$13,Inputs!$C$15,Inputs!$C$11/E48))*C48)</f>
        <v>37.3830302889069</v>
      </c>
      <c r="G48" s="25"/>
      <c r="H48" s="23" t="str">
        <f aca="false">IF(OR(G48="",D48=""),"",G48-D48)</f>
        <v/>
      </c>
      <c r="I48" s="31" t="str">
        <f aca="false">IF(H48="","",(D48-Inputs!$C$8)/(G48-Inputs!$C$8))</f>
        <v/>
      </c>
      <c r="J48" s="32" t="n">
        <f aca="false">IF(C48&lt;=Inputs!$C$12,1,0)</f>
        <v>0</v>
      </c>
    </row>
    <row r="49" customFormat="false" ht="15" hidden="false" customHeight="false" outlineLevel="0" collapsed="false">
      <c r="B49" s="30" t="n">
        <v>45534</v>
      </c>
      <c r="C49" s="25" t="n">
        <v>173.74</v>
      </c>
      <c r="D49" s="25" t="n">
        <v>35.21</v>
      </c>
      <c r="E49" s="25" t="n">
        <v>172.116</v>
      </c>
      <c r="F49" s="23" t="n">
        <f aca="false">IF(E49="","",IF(E49&lt;=Inputs!$C$12,Inputs!$C$14,IF(E49&gt;=Inputs!$C$13,Inputs!$C$15,Inputs!$C$11/E49))*C49)</f>
        <v>37.6014722628925</v>
      </c>
      <c r="G49" s="25" t="n">
        <v>35.554</v>
      </c>
      <c r="H49" s="23" t="n">
        <f aca="false">IF(OR(G49="",D49=""),"",G49-D49)</f>
        <v>0.344000000000001</v>
      </c>
      <c r="I49" s="31" t="n">
        <f aca="false">IF(H49="","",(D49-Inputs!$C$8)/(G49-Inputs!$C$8))</f>
        <v>0.950532067874604</v>
      </c>
      <c r="J49" s="32" t="n">
        <f aca="false">IF(C49&lt;=Inputs!$C$12,1,0)</f>
        <v>0</v>
      </c>
    </row>
    <row r="50" customFormat="false" ht="15" hidden="false" customHeight="false" outlineLevel="0" collapsed="false">
      <c r="B50" s="30" t="n">
        <v>45538</v>
      </c>
      <c r="C50" s="25" t="n">
        <v>161.02</v>
      </c>
      <c r="D50" s="25" t="n">
        <v>33.32</v>
      </c>
      <c r="E50" s="25" t="n">
        <v>172.546</v>
      </c>
      <c r="F50" s="23" t="n">
        <f aca="false">IF(E50="","",IF(E50&lt;=Inputs!$C$12,Inputs!$C$14,IF(E50&gt;=Inputs!$C$13,Inputs!$C$15,Inputs!$C$11/E50))*C50)</f>
        <v>34.7617157163887</v>
      </c>
      <c r="G50" s="25"/>
      <c r="H50" s="23" t="str">
        <f aca="false">IF(OR(G50="",D50=""),"",G50-D50)</f>
        <v/>
      </c>
      <c r="I50" s="31" t="str">
        <f aca="false">IF(H50="","",(D50-Inputs!$C$8)/(G50-Inputs!$C$8))</f>
        <v/>
      </c>
      <c r="J50" s="32" t="n">
        <f aca="false">IF(C50&lt;=Inputs!$C$12,1,0)</f>
        <v>0</v>
      </c>
    </row>
    <row r="51" customFormat="false" ht="15" hidden="false" customHeight="false" outlineLevel="0" collapsed="false">
      <c r="B51" s="30" t="n">
        <v>45539</v>
      </c>
      <c r="C51" s="25" t="n">
        <v>163.22</v>
      </c>
      <c r="D51" s="25" t="n">
        <v>33.75</v>
      </c>
      <c r="E51" s="25" t="n">
        <v>172.793</v>
      </c>
      <c r="F51" s="23" t="n">
        <f aca="false">IF(E51="","",IF(E51&lt;=Inputs!$C$12,Inputs!$C$14,IF(E51&gt;=Inputs!$C$13,Inputs!$C$15,Inputs!$C$11/E51))*C51)</f>
        <v>35.186292268784</v>
      </c>
      <c r="G51" s="25" t="n">
        <v>34.019</v>
      </c>
      <c r="H51" s="23" t="n">
        <f aca="false">IF(OR(G51="",D51=""),"",G51-D51)</f>
        <v>0.268999999999998</v>
      </c>
      <c r="I51" s="31" t="n">
        <f aca="false">IF(H51="","",(D51-Inputs!$C$8)/(G51-Inputs!$C$8))</f>
        <v>0.950359844989851</v>
      </c>
      <c r="J51" s="32" t="n">
        <f aca="false">IF(C51&lt;=Inputs!$C$12,1,0)</f>
        <v>0</v>
      </c>
    </row>
    <row r="52" customFormat="false" ht="15" hidden="false" customHeight="false" outlineLevel="0" collapsed="false">
      <c r="B52" s="30" t="n">
        <v>45540</v>
      </c>
      <c r="C52" s="25" t="n">
        <v>162.15</v>
      </c>
      <c r="D52" s="25" t="n">
        <v>33.69</v>
      </c>
      <c r="E52" s="25" t="n">
        <v>171.162</v>
      </c>
      <c r="F52" s="23" t="n">
        <f aca="false">IF(E52="","",IF(E52&lt;=Inputs!$C$12,Inputs!$C$14,IF(E52&gt;=Inputs!$C$13,Inputs!$C$15,Inputs!$C$11/E52))*C52)</f>
        <v>35.2887177060329</v>
      </c>
      <c r="G52" s="25"/>
      <c r="H52" s="23" t="str">
        <f aca="false">IF(OR(G52="",D52=""),"",G52-D52)</f>
        <v/>
      </c>
      <c r="I52" s="31" t="str">
        <f aca="false">IF(H52="","",(D52-Inputs!$C$8)/(G52-Inputs!$C$8))</f>
        <v/>
      </c>
      <c r="J52" s="32" t="n">
        <f aca="false">IF(C52&lt;=Inputs!$C$12,1,0)</f>
        <v>0</v>
      </c>
    </row>
    <row r="53" customFormat="false" ht="15" hidden="false" customHeight="false" outlineLevel="0" collapsed="false">
      <c r="B53" s="30" t="n">
        <v>45541</v>
      </c>
      <c r="C53" s="25" t="n">
        <v>157.62</v>
      </c>
      <c r="D53" s="25" t="n">
        <v>32.86</v>
      </c>
      <c r="E53" s="25" t="n">
        <v>170.841</v>
      </c>
      <c r="F53" s="23" t="n">
        <f aca="false">IF(E53="","",IF(E53&lt;=Inputs!$C$12,Inputs!$C$14,IF(E53&gt;=Inputs!$C$13,Inputs!$C$15,Inputs!$C$11/E53))*C53)</f>
        <v>34.3673064428328</v>
      </c>
      <c r="G53" s="25" t="n">
        <v>33.25</v>
      </c>
      <c r="H53" s="23" t="n">
        <f aca="false">IF(OR(G53="",D53=""),"",G53-D53)</f>
        <v>0.390000000000001</v>
      </c>
      <c r="I53" s="31" t="n">
        <f aca="false">IF(H53="","",(D53-Inputs!$C$8)/(G53-Inputs!$C$8))</f>
        <v>0.916129032258064</v>
      </c>
      <c r="J53" s="32" t="n">
        <f aca="false">IF(C53&lt;=Inputs!$C$12,1,0)</f>
        <v>0</v>
      </c>
    </row>
    <row r="54" customFormat="false" ht="15" hidden="false" customHeight="false" outlineLevel="0" collapsed="false">
      <c r="B54" s="30" t="n">
        <v>45544</v>
      </c>
      <c r="C54" s="25" t="n">
        <v>162.91</v>
      </c>
      <c r="D54" s="25" t="n">
        <v>33.74</v>
      </c>
      <c r="E54" s="25" t="n">
        <v>170.485</v>
      </c>
      <c r="F54" s="23" t="n">
        <f aca="false">IF(E54="","",IF(E54&lt;=Inputs!$C$12,Inputs!$C$14,IF(E54&gt;=Inputs!$C$13,Inputs!$C$15,Inputs!$C$11/E54))*C54)</f>
        <v>35.5949057101798</v>
      </c>
      <c r="G54" s="25" t="n">
        <v>34.01</v>
      </c>
      <c r="H54" s="23" t="n">
        <f aca="false">IF(OR(G54="",D54=""),"",G54-D54)</f>
        <v>0.269999999999996</v>
      </c>
      <c r="I54" s="31" t="n">
        <f aca="false">IF(H54="","",(D54-Inputs!$C$8)/(G54-Inputs!$C$8))</f>
        <v>0.950092421441775</v>
      </c>
      <c r="J54" s="32" t="n">
        <f aca="false">IF(C54&lt;=Inputs!$C$12,1,0)</f>
        <v>0</v>
      </c>
    </row>
    <row r="55" customFormat="false" ht="15" hidden="false" customHeight="false" outlineLevel="0" collapsed="false">
      <c r="B55" s="30" t="n">
        <v>45545</v>
      </c>
      <c r="C55" s="25" t="n">
        <v>160.07</v>
      </c>
      <c r="D55" s="25" t="n">
        <v>33.39</v>
      </c>
      <c r="E55" s="25" t="n">
        <v>169.333</v>
      </c>
      <c r="F55" s="23" t="n">
        <f aca="false">IF(E55="","",IF(E55&lt;=Inputs!$C$12,Inputs!$C$14,IF(E55&gt;=Inputs!$C$13,Inputs!$C$15,Inputs!$C$11/E55))*C55)</f>
        <v>35.2123183313353</v>
      </c>
      <c r="G55" s="25"/>
      <c r="H55" s="23" t="str">
        <f aca="false">IF(OR(G55="",D55=""),"",G55-D55)</f>
        <v/>
      </c>
      <c r="I55" s="31" t="str">
        <f aca="false">IF(H55="","",(D55-Inputs!$C$8)/(G55-Inputs!$C$8))</f>
        <v/>
      </c>
      <c r="J55" s="32" t="n">
        <f aca="false">IF(C55&lt;=Inputs!$C$12,1,0)</f>
        <v>0</v>
      </c>
    </row>
    <row r="56" customFormat="false" ht="15" hidden="false" customHeight="false" outlineLevel="0" collapsed="false">
      <c r="B56" s="30" t="n">
        <v>45546</v>
      </c>
      <c r="C56" s="25" t="n">
        <v>161.33</v>
      </c>
      <c r="D56" s="25" t="n">
        <v>33.71</v>
      </c>
      <c r="E56" s="25" t="n">
        <v>167.975</v>
      </c>
      <c r="F56" s="23" t="n">
        <f aca="false">IF(E56="","",IF(E56&lt;=Inputs!$C$12,Inputs!$C$14,IF(E56&gt;=Inputs!$C$13,Inputs!$C$15,Inputs!$C$11/E56))*C56)</f>
        <v>35.7764101800863</v>
      </c>
      <c r="G56" s="25" t="n">
        <v>33.75</v>
      </c>
      <c r="H56" s="23" t="n">
        <f aca="false">IF(OR(G56="",D56=""),"",G56-D56)</f>
        <v>0.0399999999999992</v>
      </c>
      <c r="I56" s="31" t="n">
        <f aca="false">IF(H56="","",(D56-Inputs!$C$8)/(G56-Inputs!$C$8))</f>
        <v>0.992233009708738</v>
      </c>
      <c r="J56" s="32" t="n">
        <f aca="false">IF(C56&lt;=Inputs!$C$12,1,0)</f>
        <v>0</v>
      </c>
    </row>
    <row r="57" customFormat="false" ht="15" hidden="false" customHeight="false" outlineLevel="0" collapsed="false">
      <c r="B57" s="30" t="n">
        <v>45547</v>
      </c>
      <c r="C57" s="25" t="n">
        <v>162.77</v>
      </c>
      <c r="D57" s="25" t="n">
        <v>33.7</v>
      </c>
      <c r="E57" s="25" t="n">
        <v>167.002</v>
      </c>
      <c r="F57" s="23" t="n">
        <f aca="false">IF(E57="","",IF(E57&lt;=Inputs!$C$12,Inputs!$C$14,IF(E57&gt;=Inputs!$C$13,Inputs!$C$15,Inputs!$C$11/E57))*C57)</f>
        <v>36.3060472329673</v>
      </c>
      <c r="G57" s="25" t="n">
        <v>33.996</v>
      </c>
      <c r="H57" s="23" t="n">
        <f aca="false">IF(OR(G57="",D57=""),"",G57-D57)</f>
        <v>0.295999999999999</v>
      </c>
      <c r="I57" s="31" t="n">
        <f aca="false">IF(H57="","",(D57-Inputs!$C$8)/(G57-Inputs!$C$8))</f>
        <v>0.945144551519644</v>
      </c>
      <c r="J57" s="32" t="n">
        <f aca="false">IF(C57&lt;=Inputs!$C$12,1,0)</f>
        <v>0</v>
      </c>
    </row>
    <row r="58" customFormat="false" ht="15" hidden="false" customHeight="false" outlineLevel="0" collapsed="false">
      <c r="B58" s="30" t="n">
        <v>45548</v>
      </c>
      <c r="C58" s="25" t="n">
        <v>156.77</v>
      </c>
      <c r="D58" s="25" t="n">
        <v>33.27</v>
      </c>
      <c r="E58" s="25" t="n">
        <v>165.811</v>
      </c>
      <c r="F58" s="23" t="n">
        <f aca="false">IF(E58="","",IF(E58&lt;=Inputs!$C$12,Inputs!$C$14,IF(E58&gt;=Inputs!$C$13,Inputs!$C$15,Inputs!$C$11/E58))*C58)</f>
        <v>35.2189088781806</v>
      </c>
      <c r="G58" s="25" t="n">
        <v>33.068</v>
      </c>
      <c r="H58" s="23" t="n">
        <f aca="false">IF(OR(G58="",D58=""),"",G58-D58)</f>
        <v>-0.202000000000005</v>
      </c>
      <c r="I58" s="31" t="n">
        <f aca="false">IF(H58="","",(D58-Inputs!$C$8)/(G58-Inputs!$C$8))</f>
        <v>1.04521038495971</v>
      </c>
      <c r="J58" s="32" t="n">
        <f aca="false">IF(C58&lt;=Inputs!$C$12,1,0)</f>
        <v>0</v>
      </c>
    </row>
    <row r="59" customFormat="false" ht="15" hidden="false" customHeight="false" outlineLevel="0" collapsed="false">
      <c r="B59" s="30" t="n">
        <v>45551</v>
      </c>
      <c r="C59" s="25" t="n">
        <v>155.55</v>
      </c>
      <c r="D59" s="25" t="n">
        <v>32.87</v>
      </c>
      <c r="E59" s="25" t="n">
        <v>165.247</v>
      </c>
      <c r="F59" s="23" t="n">
        <f aca="false">IF(E59="","",IF(E59&lt;=Inputs!$C$12,Inputs!$C$14,IF(E59&gt;=Inputs!$C$13,Inputs!$C$15,Inputs!$C$11/E59))*C59)</f>
        <v>35.0641010124238</v>
      </c>
      <c r="G59" s="25" t="n">
        <v>32.939</v>
      </c>
      <c r="H59" s="23" t="n">
        <f aca="false">IF(OR(G59="",D59=""),"",G59-D59)</f>
        <v>0.0690000000000026</v>
      </c>
      <c r="I59" s="31" t="n">
        <f aca="false">IF(H59="","",(D59-Inputs!$C$8)/(G59-Inputs!$C$8))</f>
        <v>0.984097718368287</v>
      </c>
      <c r="J59" s="32" t="n">
        <f aca="false">IF(C59&lt;=Inputs!$C$12,1,0)</f>
        <v>0</v>
      </c>
    </row>
    <row r="60" customFormat="false" ht="15" hidden="false" customHeight="false" outlineLevel="0" collapsed="false">
      <c r="B60" s="30" t="n">
        <v>45552</v>
      </c>
      <c r="C60" s="25" t="n">
        <v>156.39</v>
      </c>
      <c r="D60" s="25" t="n">
        <v>33.05</v>
      </c>
      <c r="E60" s="25" t="n">
        <v>163.812</v>
      </c>
      <c r="F60" s="23" t="n">
        <f aca="false">IF(E60="","",IF(E60&lt;=Inputs!$C$12,Inputs!$C$14,IF(E60&gt;=Inputs!$C$13,Inputs!$C$15,Inputs!$C$11/E60))*C60)</f>
        <v>35.562275657461</v>
      </c>
      <c r="G60" s="25" t="n">
        <v>32.992</v>
      </c>
      <c r="H60" s="23" t="n">
        <f aca="false">IF(OR(G60="",D60=""),"",G60-D60)</f>
        <v>-0.0579999999999998</v>
      </c>
      <c r="I60" s="31" t="n">
        <f aca="false">IF(H60="","",(D60-Inputs!$C$8)/(G60-Inputs!$C$8))</f>
        <v>1.0132058287796</v>
      </c>
      <c r="J60" s="32" t="n">
        <f aca="false">IF(C60&lt;=Inputs!$C$12,1,0)</f>
        <v>0</v>
      </c>
    </row>
    <row r="61" customFormat="false" ht="15" hidden="false" customHeight="false" outlineLevel="0" collapsed="false">
      <c r="B61" s="30" t="n">
        <v>45553</v>
      </c>
      <c r="C61" s="25" t="n">
        <v>155.11</v>
      </c>
      <c r="D61" s="25" t="n">
        <v>32.93</v>
      </c>
      <c r="E61" s="25" t="n">
        <v>162.669</v>
      </c>
      <c r="F61" s="23" t="n">
        <f aca="false">IF(E61="","",IF(E61&lt;=Inputs!$C$12,Inputs!$C$14,IF(E61&gt;=Inputs!$C$13,Inputs!$C$15,Inputs!$C$11/E61))*C61)</f>
        <v>35.5190448087835</v>
      </c>
      <c r="G61" s="25" t="n">
        <v>32.844</v>
      </c>
      <c r="H61" s="23" t="n">
        <f aca="false">IF(OR(G61="",D61=""),"",G61-D61)</f>
        <v>-0.0859999999999985</v>
      </c>
      <c r="I61" s="31" t="n">
        <f aca="false">IF(H61="","",(D61-Inputs!$C$8)/(G61-Inputs!$C$8))</f>
        <v>1.02026390197926</v>
      </c>
      <c r="J61" s="32" t="n">
        <f aca="false">IF(C61&lt;=Inputs!$C$12,1,0)</f>
        <v>0</v>
      </c>
    </row>
    <row r="62" customFormat="false" ht="15" hidden="false" customHeight="false" outlineLevel="0" collapsed="false">
      <c r="B62" s="30" t="n">
        <v>45554</v>
      </c>
      <c r="C62" s="25" t="n">
        <v>154.59</v>
      </c>
      <c r="D62" s="25" t="n">
        <v>32.79</v>
      </c>
      <c r="E62" s="25" t="n">
        <v>161.888</v>
      </c>
      <c r="F62" s="23" t="n">
        <f aca="false">IF(E62="","",IF(E62&lt;=Inputs!$C$12,Inputs!$C$14,IF(E62&gt;=Inputs!$C$13,Inputs!$C$15,Inputs!$C$11/E62))*C62)</f>
        <v>35.5707495305396</v>
      </c>
      <c r="G62" s="25" t="n">
        <v>32.913</v>
      </c>
      <c r="H62" s="23" t="n">
        <f aca="false">IF(OR(G62="",D62=""),"",G62-D62)</f>
        <v>0.122999999999998</v>
      </c>
      <c r="I62" s="31" t="n">
        <f aca="false">IF(H62="","",(D62-Inputs!$C$8)/(G62-Inputs!$C$8))</f>
        <v>0.97148156735451</v>
      </c>
      <c r="J62" s="32" t="n">
        <f aca="false">IF(C62&lt;=Inputs!$C$12,1,0)</f>
        <v>0</v>
      </c>
    </row>
    <row r="63" customFormat="false" ht="15" hidden="false" customHeight="false" outlineLevel="0" collapsed="false">
      <c r="B63" s="30" t="n">
        <v>45555</v>
      </c>
      <c r="C63" s="25" t="n">
        <v>153.29</v>
      </c>
      <c r="D63" s="25" t="n">
        <v>33.12</v>
      </c>
      <c r="E63" s="25" t="n">
        <v>161.239</v>
      </c>
      <c r="F63" s="23" t="n">
        <f aca="false">IF(E63="","",IF(E63&lt;=Inputs!$C$12,Inputs!$C$14,IF(E63&gt;=Inputs!$C$13,Inputs!$C$15,Inputs!$C$11/E63))*C63)</f>
        <v>35.4135941056444</v>
      </c>
      <c r="G63" s="25" t="n">
        <v>32.686</v>
      </c>
      <c r="H63" s="23" t="n">
        <f aca="false">IF(OR(G63="",D63=""),"",G63-D63)</f>
        <v>-0.433999999999998</v>
      </c>
      <c r="I63" s="31" t="n">
        <f aca="false">IF(H63="","",(D63-Inputs!$C$8)/(G63-Inputs!$C$8))</f>
        <v>1.1062163485071</v>
      </c>
      <c r="J63" s="32" t="n">
        <f aca="false">IF(C63&lt;=Inputs!$C$12,1,0)</f>
        <v>0</v>
      </c>
    </row>
    <row r="64" customFormat="false" ht="15" hidden="false" customHeight="false" outlineLevel="0" collapsed="false">
      <c r="B64" s="30" t="n">
        <v>45558</v>
      </c>
      <c r="C64" s="25" t="n">
        <v>156.3</v>
      </c>
      <c r="D64" s="25" t="n">
        <v>33.48</v>
      </c>
      <c r="E64" s="25" t="n">
        <v>160.428</v>
      </c>
      <c r="F64" s="23" t="n">
        <f aca="false">IF(E64="","",IF(E64&lt;=Inputs!$C$12,Inputs!$C$14,IF(E64&gt;=Inputs!$C$13,Inputs!$C$15,Inputs!$C$11/E64))*C64)</f>
        <v>36.2915139501833</v>
      </c>
      <c r="G64" s="25" t="n">
        <v>33.163</v>
      </c>
      <c r="H64" s="23" t="n">
        <f aca="false">IF(OR(G64="",D64=""),"",G64-D64)</f>
        <v>-0.317</v>
      </c>
      <c r="I64" s="31" t="n">
        <f aca="false">IF(H64="","",(D64-Inputs!$C$8)/(G64-Inputs!$C$8))</f>
        <v>1.06947183870261</v>
      </c>
      <c r="J64" s="32" t="n">
        <f aca="false">IF(C64&lt;=Inputs!$C$12,1,0)</f>
        <v>0</v>
      </c>
    </row>
    <row r="65" customFormat="false" ht="15" hidden="false" customHeight="false" outlineLevel="0" collapsed="false">
      <c r="B65" s="30" t="n">
        <v>45559</v>
      </c>
      <c r="C65" s="25" t="n">
        <v>155.81</v>
      </c>
      <c r="D65" s="25" t="n">
        <v>33.22</v>
      </c>
      <c r="E65" s="25" t="n">
        <v>159.36</v>
      </c>
      <c r="F65" s="23" t="n">
        <f aca="false">IF(E65="","",IF(E65&lt;=Inputs!$C$12,Inputs!$C$14,IF(E65&gt;=Inputs!$C$13,Inputs!$C$15,Inputs!$C$11/E65))*C65)</f>
        <v>36.4201964106426</v>
      </c>
      <c r="G65" s="25" t="n">
        <v>33.083</v>
      </c>
      <c r="H65" s="23" t="n">
        <f aca="false">IF(OR(G65="",D65=""),"",G65-D65)</f>
        <v>-0.137</v>
      </c>
      <c r="I65" s="31" t="n">
        <f aca="false">IF(H65="","",(D65-Inputs!$C$8)/(G65-Inputs!$C$8))</f>
        <v>1.03055989292884</v>
      </c>
      <c r="J65" s="32" t="n">
        <f aca="false">IF(C65&lt;=Inputs!$C$12,1,0)</f>
        <v>0</v>
      </c>
    </row>
    <row r="66" customFormat="false" ht="15" hidden="false" customHeight="false" outlineLevel="0" collapsed="false">
      <c r="B66" s="30" t="n">
        <v>45560</v>
      </c>
      <c r="C66" s="25" t="n">
        <v>152.22</v>
      </c>
      <c r="D66" s="25" t="n">
        <v>32.84</v>
      </c>
      <c r="E66" s="25" t="n">
        <v>158.627</v>
      </c>
      <c r="F66" s="23" t="n">
        <f aca="false">IF(E66="","",IF(E66&lt;=Inputs!$C$12,Inputs!$C$14,IF(E66&gt;=Inputs!$C$13,Inputs!$C$15,Inputs!$C$11/E66))*C66)</f>
        <v>35.7454594741122</v>
      </c>
      <c r="G66" s="25" t="n">
        <v>32.518</v>
      </c>
      <c r="H66" s="23" t="n">
        <f aca="false">IF(OR(G66="",D66=""),"",G66-D66)</f>
        <v>-0.322000000000003</v>
      </c>
      <c r="I66" s="31" t="n">
        <f aca="false">IF(H66="","",(D66-Inputs!$C$8)/(G66-Inputs!$C$8))</f>
        <v>1.08218478815722</v>
      </c>
      <c r="J66" s="32" t="n">
        <f aca="false">IF(C66&lt;=Inputs!$C$12,1,0)</f>
        <v>0</v>
      </c>
    </row>
    <row r="67" customFormat="false" ht="15" hidden="false" customHeight="false" outlineLevel="0" collapsed="false">
      <c r="B67" s="30" t="n">
        <v>45561</v>
      </c>
      <c r="C67" s="25" t="n">
        <v>154.58</v>
      </c>
      <c r="D67" s="25" t="n">
        <v>33.08</v>
      </c>
      <c r="E67" s="25" t="n">
        <v>157.848</v>
      </c>
      <c r="F67" s="23" t="n">
        <f aca="false">IF(E67="","",IF(E67&lt;=Inputs!$C$12,Inputs!$C$14,IF(E67&gt;=Inputs!$C$13,Inputs!$C$15,Inputs!$C$11/E67))*C67)</f>
        <v>36.4787960569662</v>
      </c>
      <c r="G67" s="25" t="n">
        <v>32.869</v>
      </c>
      <c r="H67" s="23" t="n">
        <f aca="false">IF(OR(G67="",D67=""),"",G67-D67)</f>
        <v>-0.210999999999999</v>
      </c>
      <c r="I67" s="31" t="n">
        <f aca="false">IF(H67="","",(D67-Inputs!$C$8)/(G67-Inputs!$C$8))</f>
        <v>1.04942609510424</v>
      </c>
      <c r="J67" s="32" t="n">
        <f aca="false">IF(C67&lt;=Inputs!$C$12,1,0)</f>
        <v>0</v>
      </c>
    </row>
    <row r="68" customFormat="false" ht="15" hidden="false" customHeight="false" outlineLevel="0" collapsed="false">
      <c r="B68" s="30" t="n">
        <v>45562</v>
      </c>
      <c r="C68" s="25" t="n">
        <v>156.32</v>
      </c>
      <c r="D68" s="25" t="n">
        <v>33.11</v>
      </c>
      <c r="E68" s="25" t="n">
        <v>157.266</v>
      </c>
      <c r="F68" s="23" t="n">
        <f aca="false">IF(E68="","",IF(E68&lt;=Inputs!$C$12,Inputs!$C$14,IF(E68&gt;=Inputs!$C$13,Inputs!$C$15,Inputs!$C$11/E68))*C68)</f>
        <v>37.0259305889385</v>
      </c>
      <c r="G68" s="25" t="n">
        <v>33.082</v>
      </c>
      <c r="H68" s="23" t="n">
        <f aca="false">IF(OR(G68="",D68=""),"",G68-D68)</f>
        <v>-0.0279999999999987</v>
      </c>
      <c r="I68" s="31" t="n">
        <f aca="false">IF(H68="","",(D68-Inputs!$C$8)/(G68-Inputs!$C$8))</f>
        <v>1.00624721106649</v>
      </c>
      <c r="J68" s="32" t="n">
        <f aca="false">IF(C68&lt;=Inputs!$C$12,1,0)</f>
        <v>0</v>
      </c>
    </row>
    <row r="69" customFormat="false" ht="15" hidden="false" customHeight="false" outlineLevel="0" collapsed="false">
      <c r="B69" s="30" t="n">
        <v>45565</v>
      </c>
      <c r="C69" s="25" t="n">
        <v>152.04</v>
      </c>
      <c r="D69" s="25" t="n">
        <v>32.51</v>
      </c>
      <c r="E69" s="25" t="n">
        <v>156.909</v>
      </c>
      <c r="F69" s="23" t="n">
        <f aca="false">IF(E69="","",IF(E69&lt;=Inputs!$C$12,Inputs!$C$14,IF(E69&gt;=Inputs!$C$13,Inputs!$C$15,Inputs!$C$11/E69))*C69)</f>
        <v>36.0941055006405</v>
      </c>
      <c r="G69" s="25" t="n">
        <v>32.444</v>
      </c>
      <c r="H69" s="23" t="n">
        <f aca="false">IF(OR(G69="",D69=""),"",G69-D69)</f>
        <v>-0.0659999999999954</v>
      </c>
      <c r="I69" s="31" t="n">
        <f aca="false">IF(H69="","",(D69-Inputs!$C$8)/(G69-Inputs!$C$8))</f>
        <v>1.01716961498439</v>
      </c>
      <c r="J69" s="32" t="n">
        <f aca="false">IF(C69&lt;=Inputs!$C$12,1,0)</f>
        <v>0</v>
      </c>
    </row>
    <row r="70" customFormat="false" ht="15" hidden="false" customHeight="false" outlineLevel="0" collapsed="false">
      <c r="B70" s="30" t="n">
        <v>45566</v>
      </c>
      <c r="C70" s="25" t="n">
        <v>154.22</v>
      </c>
      <c r="D70" s="25" t="n">
        <v>32.92</v>
      </c>
      <c r="E70" s="25" t="n">
        <v>156.758</v>
      </c>
      <c r="F70" s="23" t="n">
        <f aca="false">IF(E70="","",IF(E70&lt;=Inputs!$C$12,Inputs!$C$14,IF(E70&gt;=Inputs!$C$13,Inputs!$C$15,Inputs!$C$11/E70))*C70)</f>
        <v>36.6469015935391</v>
      </c>
      <c r="G70" s="25" t="n">
        <v>32.714</v>
      </c>
      <c r="H70" s="23" t="n">
        <f aca="false">IF(OR(G70="",D70=""),"",G70-D70)</f>
        <v>-0.206000000000003</v>
      </c>
      <c r="I70" s="31" t="n">
        <f aca="false">IF(H70="","",(D70-Inputs!$C$8)/(G70-Inputs!$C$8))</f>
        <v>1.05007292173068</v>
      </c>
      <c r="J70" s="32" t="n">
        <f aca="false">IF(C70&lt;=Inputs!$C$12,1,0)</f>
        <v>0</v>
      </c>
    </row>
    <row r="71" customFormat="false" ht="15" hidden="false" customHeight="false" outlineLevel="0" collapsed="false">
      <c r="B71" s="30" t="n">
        <v>45567</v>
      </c>
      <c r="C71" s="25" t="n">
        <v>152.89</v>
      </c>
      <c r="D71" s="25" t="n">
        <v>32.82</v>
      </c>
      <c r="E71" s="25" t="n">
        <v>156.083</v>
      </c>
      <c r="F71" s="23" t="n">
        <f aca="false">IF(E71="","",IF(E71&lt;=Inputs!$C$12,Inputs!$C$14,IF(E71&gt;=Inputs!$C$13,Inputs!$C$15,Inputs!$C$11/E71))*C71)</f>
        <v>36.4879743469821</v>
      </c>
      <c r="G71" s="25" t="n">
        <v>32.502</v>
      </c>
      <c r="H71" s="23" t="n">
        <f aca="false">IF(OR(G71="",D71=""),"",G71-D71)</f>
        <v>-0.317999999999998</v>
      </c>
      <c r="I71" s="31" t="n">
        <f aca="false">IF(H71="","",(D71-Inputs!$C$8)/(G71-Inputs!$C$8))</f>
        <v>1.08149666837519</v>
      </c>
      <c r="J71" s="32" t="n">
        <f aca="false">IF(C71&lt;=Inputs!$C$12,1,0)</f>
        <v>0</v>
      </c>
    </row>
    <row r="72" customFormat="false" ht="15" hidden="false" customHeight="false" outlineLevel="0" collapsed="false">
      <c r="B72" s="30" t="n">
        <v>45568</v>
      </c>
      <c r="C72" s="25" t="n">
        <v>150.52</v>
      </c>
      <c r="D72" s="25" t="n">
        <v>32.09</v>
      </c>
      <c r="E72" s="25" t="n">
        <v>155.665</v>
      </c>
      <c r="F72" s="23" t="n">
        <f aca="false">IF(E72="","",IF(E72&lt;=Inputs!$C$12,Inputs!$C$14,IF(E72&gt;=Inputs!$C$13,Inputs!$C$15,Inputs!$C$11/E72))*C72)</f>
        <v>36.0188224713327</v>
      </c>
      <c r="G72" s="25" t="n">
        <v>32.167</v>
      </c>
      <c r="H72" s="23" t="n">
        <f aca="false">IF(OR(G72="",D72=""),"",G72-D72)</f>
        <v>0.0769999999999982</v>
      </c>
      <c r="I72" s="31" t="n">
        <f aca="false">IF(H72="","",(D72-Inputs!$C$8)/(G72-Inputs!$C$8))</f>
        <v>0.978413232408187</v>
      </c>
      <c r="J72" s="32" t="n">
        <f aca="false">IF(C72&lt;=Inputs!$C$12,1,0)</f>
        <v>0</v>
      </c>
    </row>
    <row r="73" customFormat="false" ht="15" hidden="false" customHeight="false" outlineLevel="0" collapsed="false">
      <c r="B73" s="30" t="n">
        <v>45569</v>
      </c>
      <c r="C73" s="25" t="n">
        <v>155</v>
      </c>
      <c r="D73" s="25" t="n">
        <v>32.55</v>
      </c>
      <c r="E73" s="25" t="n">
        <v>155.422</v>
      </c>
      <c r="F73" s="23" t="n">
        <f aca="false">IF(E73="","",IF(E73&lt;=Inputs!$C$12,Inputs!$C$14,IF(E73&gt;=Inputs!$C$13,Inputs!$C$15,Inputs!$C$11/E73))*C73)</f>
        <v>37.1488592348574</v>
      </c>
      <c r="G73" s="25" t="n">
        <v>32.875</v>
      </c>
      <c r="H73" s="23" t="n">
        <f aca="false">IF(OR(G73="",D73=""),"",G73-D73)</f>
        <v>0.325000000000003</v>
      </c>
      <c r="I73" s="31" t="n">
        <f aca="false">IF(H73="","",(D73-Inputs!$C$8)/(G73-Inputs!$C$8))</f>
        <v>0.923976608187134</v>
      </c>
      <c r="J73" s="32" t="n">
        <f aca="false">IF(C73&lt;=Inputs!$C$12,1,0)</f>
        <v>0</v>
      </c>
    </row>
    <row r="74" customFormat="false" ht="15" hidden="false" customHeight="false" outlineLevel="0" collapsed="false">
      <c r="B74" s="30" t="n">
        <v>45572</v>
      </c>
      <c r="C74" s="25" t="n">
        <v>155.91</v>
      </c>
      <c r="D74" s="25" t="n">
        <v>32.47</v>
      </c>
      <c r="E74" s="25" t="n">
        <v>155.06</v>
      </c>
      <c r="F74" s="23" t="n">
        <f aca="false">IF(E74="","",IF(E74&lt;=Inputs!$C$12,Inputs!$C$14,IF(E74&gt;=Inputs!$C$13,Inputs!$C$15,Inputs!$C$11/E74))*C74)</f>
        <v>37.4541951502644</v>
      </c>
      <c r="G74" s="25" t="n">
        <v>32.946</v>
      </c>
      <c r="H74" s="23" t="n">
        <f aca="false">IF(OR(G74="",D74=""),"",G74-D74)</f>
        <v>0.475999999999999</v>
      </c>
      <c r="I74" s="31" t="n">
        <f aca="false">IF(H74="","",(D74-Inputs!$C$8)/(G74-Inputs!$C$8))</f>
        <v>0.890473999079614</v>
      </c>
      <c r="J74" s="32" t="n">
        <f aca="false">IF(C74&lt;=Inputs!$C$12,1,0)</f>
        <v>0</v>
      </c>
    </row>
    <row r="75" customFormat="false" ht="15" hidden="false" customHeight="false" outlineLevel="0" collapsed="false">
      <c r="B75" s="30" t="n">
        <v>45573</v>
      </c>
      <c r="C75" s="25" t="n">
        <v>154.65</v>
      </c>
      <c r="D75" s="25" t="n">
        <v>32.25</v>
      </c>
      <c r="E75" s="25" t="n">
        <v>154.521</v>
      </c>
      <c r="F75" s="23" t="n">
        <f aca="false">IF(E75="","",IF(E75&lt;=Inputs!$C$12,Inputs!$C$14,IF(E75&gt;=Inputs!$C$13,Inputs!$C$15,Inputs!$C$11/E75))*C75)</f>
        <v>37.2810977148737</v>
      </c>
      <c r="G75" s="25" t="n">
        <v>32.802</v>
      </c>
      <c r="H75" s="23" t="n">
        <f aca="false">IF(OR(G75="",D75=""),"",G75-D75)</f>
        <v>0.552</v>
      </c>
      <c r="I75" s="31" t="n">
        <f aca="false">IF(H75="","",(D75-Inputs!$C$8)/(G75-Inputs!$C$8))</f>
        <v>0.86863398381723</v>
      </c>
      <c r="J75" s="32" t="n">
        <f aca="false">IF(C75&lt;=Inputs!$C$12,1,0)</f>
        <v>0</v>
      </c>
    </row>
    <row r="76" customFormat="false" ht="15" hidden="false" customHeight="false" outlineLevel="0" collapsed="false">
      <c r="B76" s="30" t="n">
        <v>45574</v>
      </c>
      <c r="C76" s="25" t="n">
        <v>149.37</v>
      </c>
      <c r="D76" s="25" t="n">
        <v>31.74</v>
      </c>
      <c r="E76" s="25" t="n">
        <v>154.516</v>
      </c>
      <c r="F76" s="23" t="n">
        <f aca="false">IF(E76="","",IF(E76&lt;=Inputs!$C$12,Inputs!$C$14,IF(E76&gt;=Inputs!$C$13,Inputs!$C$15,Inputs!$C$11/E76))*C76)</f>
        <v>36.0094262082891</v>
      </c>
      <c r="G76" s="25" t="n">
        <v>32.027</v>
      </c>
      <c r="H76" s="23" t="n">
        <f aca="false">IF(OR(G76="",D76=""),"",G76-D76)</f>
        <v>0.287000000000003</v>
      </c>
      <c r="I76" s="31" t="n">
        <f aca="false">IF(H76="","",(D76-Inputs!$C$8)/(G76-Inputs!$C$8))</f>
        <v>0.916253282754595</v>
      </c>
      <c r="J76" s="32" t="n">
        <f aca="false">IF(C76&lt;=Inputs!$C$12,1,0)</f>
        <v>0</v>
      </c>
    </row>
    <row r="77" customFormat="false" ht="15" hidden="false" customHeight="false" outlineLevel="0" collapsed="false">
      <c r="B77" s="30" t="n">
        <v>45575</v>
      </c>
      <c r="C77" s="25" t="n">
        <v>146.62</v>
      </c>
      <c r="D77" s="25" t="n">
        <v>30.92</v>
      </c>
      <c r="E77" s="25" t="n">
        <v>154.402</v>
      </c>
      <c r="F77" s="23" t="n">
        <f aca="false">IF(E77="","",IF(E77&lt;=Inputs!$C$12,Inputs!$C$14,IF(E77&gt;=Inputs!$C$13,Inputs!$C$15,Inputs!$C$11/E77))*C77)</f>
        <v>35.3725664175335</v>
      </c>
      <c r="G77" s="25" t="n">
        <v>31.65</v>
      </c>
      <c r="H77" s="23" t="n">
        <f aca="false">IF(OR(G77="",D77=""),"",G77-D77)</f>
        <v>0.729999999999997</v>
      </c>
      <c r="I77" s="31" t="n">
        <f aca="false">IF(H77="","",(D77-Inputs!$C$8)/(G77-Inputs!$C$8))</f>
        <v>0.760655737704919</v>
      </c>
      <c r="J77" s="32" t="n">
        <f aca="false">IF(C77&lt;=Inputs!$C$12,1,0)</f>
        <v>1</v>
      </c>
    </row>
    <row r="78" customFormat="false" ht="15" hidden="false" customHeight="false" outlineLevel="0" collapsed="false">
      <c r="B78" s="30" t="n">
        <v>45576</v>
      </c>
      <c r="C78" s="25" t="n">
        <v>151.02</v>
      </c>
      <c r="D78" s="25" t="n">
        <v>31.46</v>
      </c>
      <c r="E78" s="25" t="n">
        <v>153.909</v>
      </c>
      <c r="F78" s="23" t="n">
        <f aca="false">IF(E78="","",IF(E78&lt;=Inputs!$C$12,Inputs!$C$14,IF(E78&gt;=Inputs!$C$13,Inputs!$C$15,Inputs!$C$11/E78))*C78)</f>
        <v>36.5507865037132</v>
      </c>
      <c r="G78" s="25" t="n">
        <v>32.262</v>
      </c>
      <c r="H78" s="23" t="n">
        <f aca="false">IF(OR(G78="",D78=""),"",G78-D78)</f>
        <v>0.802</v>
      </c>
      <c r="I78" s="31" t="n">
        <f aca="false">IF(H78="","",(D78-Inputs!$C$8)/(G78-Inputs!$C$8))</f>
        <v>0.780993992353905</v>
      </c>
      <c r="J78" s="32" t="n">
        <f aca="false">IF(C78&lt;=Inputs!$C$12,1,0)</f>
        <v>0</v>
      </c>
    </row>
    <row r="79" customFormat="false" ht="15" hidden="false" customHeight="false" outlineLevel="0" collapsed="false">
      <c r="B79" s="30" t="n">
        <v>45579</v>
      </c>
      <c r="C79" s="25" t="n">
        <v>148.99</v>
      </c>
      <c r="D79" s="25" t="n">
        <v>31.19</v>
      </c>
      <c r="E79" s="25" t="n">
        <v>153.269</v>
      </c>
      <c r="F79" s="23" t="n">
        <f aca="false">IF(E79="","",IF(E79&lt;=Inputs!$C$12,Inputs!$C$14,IF(E79&gt;=Inputs!$C$13,Inputs!$C$15,Inputs!$C$11/E79))*C79)</f>
        <v>36.2100457365808</v>
      </c>
      <c r="G79" s="25" t="n">
        <v>32.092</v>
      </c>
      <c r="H79" s="23" t="n">
        <f aca="false">IF(OR(G79="",D79=""),"",G79-D79)</f>
        <v>0.901999999999998</v>
      </c>
      <c r="I79" s="31" t="n">
        <f aca="false">IF(H79="","",(D79-Inputs!$C$8)/(G79-Inputs!$C$8))</f>
        <v>0.741695303550974</v>
      </c>
      <c r="J79" s="32" t="n">
        <f aca="false">IF(C79&lt;=Inputs!$C$12,1,0)</f>
        <v>1</v>
      </c>
    </row>
    <row r="80" customFormat="false" ht="15" hidden="false" customHeight="false" outlineLevel="0" collapsed="false">
      <c r="B80" s="30" t="n">
        <v>45580</v>
      </c>
      <c r="C80" s="25" t="n">
        <v>152.35</v>
      </c>
      <c r="D80" s="25" t="n">
        <v>31.74</v>
      </c>
      <c r="E80" s="25" t="n">
        <v>152.973</v>
      </c>
      <c r="F80" s="23" t="n">
        <f aca="false">IF(E80="","",IF(E80&lt;=Inputs!$C$12,Inputs!$C$14,IF(E80&gt;=Inputs!$C$13,Inputs!$C$15,Inputs!$C$11/E80))*C80)</f>
        <v>37.0982951239761</v>
      </c>
      <c r="G80" s="25" t="n">
        <v>32.581</v>
      </c>
      <c r="H80" s="23" t="n">
        <f aca="false">IF(OR(G80="",D80=""),"",G80-D80)</f>
        <v>0.841000000000005</v>
      </c>
      <c r="I80" s="31" t="n">
        <f aca="false">IF(H80="","",(D80-Inputs!$C$8)/(G80-Inputs!$C$8))</f>
        <v>0.788746546093945</v>
      </c>
      <c r="J80" s="32" t="n">
        <f aca="false">IF(C80&lt;=Inputs!$C$12,1,0)</f>
        <v>0</v>
      </c>
    </row>
    <row r="81" customFormat="false" ht="15" hidden="false" customHeight="false" outlineLevel="0" collapsed="false">
      <c r="B81" s="30" t="n">
        <v>45581</v>
      </c>
      <c r="C81" s="25" t="n">
        <v>154.9</v>
      </c>
      <c r="D81" s="25" t="n">
        <v>32.11</v>
      </c>
      <c r="E81" s="25" t="n">
        <v>152.393</v>
      </c>
      <c r="F81" s="23" t="n">
        <f aca="false">IF(E81="","",IF(E81&lt;=Inputs!$C$12,Inputs!$C$14,IF(E81&gt;=Inputs!$C$13,Inputs!$C$15,Inputs!$C$11/E81))*C81)</f>
        <v>37.862795535228</v>
      </c>
      <c r="G81" s="25" t="n">
        <v>32.978</v>
      </c>
      <c r="H81" s="23" t="n">
        <f aca="false">IF(OR(G81="",D81=""),"",G81-D81)</f>
        <v>0.868000000000002</v>
      </c>
      <c r="I81" s="31" t="n">
        <f aca="false">IF(H81="","",(D81-Inputs!$C$8)/(G81-Inputs!$C$8))</f>
        <v>0.801735952489721</v>
      </c>
      <c r="J81" s="32" t="n">
        <f aca="false">IF(C81&lt;=Inputs!$C$12,1,0)</f>
        <v>0</v>
      </c>
    </row>
    <row r="82" customFormat="false" ht="15" hidden="false" customHeight="false" outlineLevel="0" collapsed="false">
      <c r="B82" s="30" t="n">
        <v>45582</v>
      </c>
      <c r="C82" s="25" t="n">
        <v>155.31</v>
      </c>
      <c r="D82" s="25" t="n">
        <v>32.21</v>
      </c>
      <c r="E82" s="25" t="n">
        <v>152.177</v>
      </c>
      <c r="F82" s="23" t="n">
        <f aca="false">IF(E82="","",IF(E82&lt;=Inputs!$C$12,Inputs!$C$14,IF(E82&gt;=Inputs!$C$13,Inputs!$C$15,Inputs!$C$11/E82))*C82)</f>
        <v>38.0168980857817</v>
      </c>
      <c r="G82" s="25" t="n">
        <v>33.064</v>
      </c>
      <c r="H82" s="23" t="n">
        <f aca="false">IF(OR(G82="",D82=""),"",G82-D82)</f>
        <v>0.853999999999999</v>
      </c>
      <c r="I82" s="31" t="n">
        <f aca="false">IF(H82="","",(D82-Inputs!$C$8)/(G82-Inputs!$C$8))</f>
        <v>0.808691756272402</v>
      </c>
      <c r="J82" s="32" t="n">
        <f aca="false">IF(C82&lt;=Inputs!$C$12,1,0)</f>
        <v>0</v>
      </c>
    </row>
    <row r="83" customFormat="false" ht="15" hidden="false" customHeight="false" outlineLevel="0" collapsed="false">
      <c r="B83" s="30" t="n">
        <v>45583</v>
      </c>
      <c r="C83" s="25" t="n">
        <v>155</v>
      </c>
      <c r="D83" s="25" t="n">
        <v>31.73</v>
      </c>
      <c r="E83" s="25" t="n">
        <v>152.156</v>
      </c>
      <c r="F83" s="23" t="n">
        <f aca="false">IF(E83="","",IF(E83&lt;=Inputs!$C$12,Inputs!$C$14,IF(E83&gt;=Inputs!$C$13,Inputs!$C$15,Inputs!$C$11/E83))*C83)</f>
        <v>37.9462525302979</v>
      </c>
      <c r="G83" s="25" t="n">
        <v>33.098</v>
      </c>
      <c r="H83" s="23" t="n">
        <f aca="false">IF(OR(G83="",D83=""),"",G83-D83)</f>
        <v>1.368</v>
      </c>
      <c r="I83" s="31" t="n">
        <f aca="false">IF(H83="","",(D83-Inputs!$C$8)/(G83-Inputs!$C$8))</f>
        <v>0.695864828812806</v>
      </c>
      <c r="J83" s="32" t="n">
        <f aca="false">IF(C83&lt;=Inputs!$C$12,1,0)</f>
        <v>0</v>
      </c>
    </row>
    <row r="84" customFormat="false" ht="15" hidden="false" customHeight="false" outlineLevel="0" collapsed="false">
      <c r="B84" s="30" t="n">
        <v>45586</v>
      </c>
      <c r="C84" s="25" t="n">
        <v>159.82</v>
      </c>
      <c r="D84" s="25" t="n">
        <v>33.09</v>
      </c>
      <c r="E84" s="25" t="n">
        <v>152.082</v>
      </c>
      <c r="F84" s="23" t="n">
        <f aca="false">IF(E84="","",IF(E84&lt;=Inputs!$C$12,Inputs!$C$14,IF(E84&gt;=Inputs!$C$13,Inputs!$C$15,Inputs!$C$11/E84))*C84)</f>
        <v>39.1452966162991</v>
      </c>
      <c r="G84" s="25" t="n">
        <v>33.746</v>
      </c>
      <c r="H84" s="23" t="n">
        <f aca="false">IF(OR(G84="",D84=""),"",G84-D84)</f>
        <v>0.655999999999999</v>
      </c>
      <c r="I84" s="31" t="n">
        <f aca="false">IF(H84="","",(D84-Inputs!$C$8)/(G84-Inputs!$C$8))</f>
        <v>0.872522347454334</v>
      </c>
      <c r="J84" s="32" t="n">
        <f aca="false">IF(C84&lt;=Inputs!$C$12,1,0)</f>
        <v>0</v>
      </c>
    </row>
    <row r="85" customFormat="false" ht="15" hidden="false" customHeight="false" outlineLevel="0" collapsed="false">
      <c r="B85" s="30" t="n">
        <v>45587</v>
      </c>
      <c r="C85" s="25" t="n">
        <v>159.88</v>
      </c>
      <c r="D85" s="25" t="n">
        <v>32.75</v>
      </c>
      <c r="E85" s="25" t="n">
        <v>151.994</v>
      </c>
      <c r="F85" s="23" t="n">
        <f aca="false">IF(E85="","",IF(E85&lt;=Inputs!$C$12,Inputs!$C$14,IF(E85&gt;=Inputs!$C$13,Inputs!$C$15,Inputs!$C$11/E85))*C85)</f>
        <v>39.1826651052015</v>
      </c>
      <c r="G85" s="25" t="n">
        <v>33.753</v>
      </c>
      <c r="H85" s="23" t="n">
        <f aca="false">IF(OR(G85="",D85=""),"",G85-D85)</f>
        <v>1.003</v>
      </c>
      <c r="I85" s="31" t="n">
        <f aca="false">IF(H85="","",(D85-Inputs!$C$8)/(G85-Inputs!$C$8))</f>
        <v>0.805356103240831</v>
      </c>
      <c r="J85" s="32" t="n">
        <f aca="false">IF(C85&lt;=Inputs!$C$12,1,0)</f>
        <v>0</v>
      </c>
    </row>
    <row r="86" customFormat="false" ht="15" hidden="false" customHeight="false" outlineLevel="0" collapsed="false">
      <c r="B86" s="30" t="n">
        <v>45588</v>
      </c>
      <c r="C86" s="25" t="n">
        <v>157.06</v>
      </c>
      <c r="D86" s="25" t="n">
        <v>32.65</v>
      </c>
      <c r="E86" s="25" t="n">
        <v>152.803</v>
      </c>
      <c r="F86" s="23" t="n">
        <f aca="false">IF(E86="","",IF(E86&lt;=Inputs!$C$12,Inputs!$C$14,IF(E86&gt;=Inputs!$C$13,Inputs!$C$15,Inputs!$C$11/E86))*C86)</f>
        <v>38.2877626748166</v>
      </c>
      <c r="G86" s="25" t="n">
        <v>33.387</v>
      </c>
      <c r="H86" s="23" t="n">
        <f aca="false">IF(OR(G86="",D86=""),"",G86-D86)</f>
        <v>0.737000000000002</v>
      </c>
      <c r="I86" s="31" t="n">
        <f aca="false">IF(H86="","",(D86-Inputs!$C$8)/(G86-Inputs!$C$8))</f>
        <v>0.846041362022143</v>
      </c>
      <c r="J86" s="32" t="n">
        <f aca="false">IF(C86&lt;=Inputs!$C$12,1,0)</f>
        <v>0</v>
      </c>
    </row>
    <row r="87" customFormat="false" ht="15" hidden="false" customHeight="false" outlineLevel="0" collapsed="false">
      <c r="B87" s="30" t="n">
        <v>45589</v>
      </c>
      <c r="C87" s="25" t="n">
        <v>155.2</v>
      </c>
      <c r="D87" s="25" t="n">
        <v>31.66</v>
      </c>
      <c r="E87" s="25" t="n">
        <v>153.155</v>
      </c>
      <c r="F87" s="23" t="n">
        <f aca="false">IF(E87="","",IF(E87&lt;=Inputs!$C$12,Inputs!$C$14,IF(E87&gt;=Inputs!$C$13,Inputs!$C$15,Inputs!$C$11/E87))*C87)</f>
        <v>37.7473801051223</v>
      </c>
      <c r="G87" s="25" t="n">
        <v>33.193</v>
      </c>
      <c r="H87" s="23" t="n">
        <f aca="false">IF(OR(G87="",D87=""),"",G87-D87)</f>
        <v>1.533</v>
      </c>
      <c r="I87" s="31" t="n">
        <f aca="false">IF(H87="","",(D87-Inputs!$C$8)/(G87-Inputs!$C$8))</f>
        <v>0.666231221423906</v>
      </c>
      <c r="J87" s="32" t="n">
        <f aca="false">IF(C87&lt;=Inputs!$C$12,1,0)</f>
        <v>0</v>
      </c>
    </row>
    <row r="88" customFormat="false" ht="15" hidden="false" customHeight="false" outlineLevel="0" collapsed="false">
      <c r="B88" s="30" t="n">
        <v>45590</v>
      </c>
      <c r="C88" s="25" t="n">
        <v>155.01</v>
      </c>
      <c r="D88" s="25" t="n">
        <v>31.44</v>
      </c>
      <c r="E88" s="25" t="n">
        <v>153.64</v>
      </c>
      <c r="F88" s="23" t="n">
        <f aca="false">IF(E88="","",IF(E88&lt;=Inputs!$C$12,Inputs!$C$14,IF(E88&gt;=Inputs!$C$13,Inputs!$C$15,Inputs!$C$11/E88))*C88)</f>
        <v>37.5821563394949</v>
      </c>
      <c r="G88" s="25" t="n">
        <v>33.102</v>
      </c>
      <c r="H88" s="23" t="n">
        <f aca="false">IF(OR(G88="",D88=""),"",G88-D88)</f>
        <v>1.662</v>
      </c>
      <c r="I88" s="31" t="n">
        <f aca="false">IF(H88="","",(D88-Inputs!$C$8)/(G88-Inputs!$C$8))</f>
        <v>0.630830741892493</v>
      </c>
      <c r="J88" s="32" t="n">
        <f aca="false">IF(C88&lt;=Inputs!$C$12,1,0)</f>
        <v>0</v>
      </c>
    </row>
    <row r="89" customFormat="false" ht="15" hidden="false" customHeight="false" outlineLevel="0" collapsed="false">
      <c r="B89" s="30" t="n">
        <v>45593</v>
      </c>
      <c r="C89" s="25" t="n">
        <v>150.69</v>
      </c>
      <c r="D89" s="25" t="n">
        <v>31.42</v>
      </c>
      <c r="E89" s="25" t="n">
        <v>153.786</v>
      </c>
      <c r="F89" s="23" t="n">
        <f aca="false">IF(E89="","",IF(E89&lt;=Inputs!$C$12,Inputs!$C$14,IF(E89&gt;=Inputs!$C$13,Inputs!$C$15,Inputs!$C$11/E89))*C89)</f>
        <v>36.5000877843237</v>
      </c>
      <c r="G89" s="25" t="n">
        <v>32.601</v>
      </c>
      <c r="H89" s="23" t="n">
        <f aca="false">IF(OR(G89="",D89=""),"",G89-D89)</f>
        <v>1.181</v>
      </c>
      <c r="I89" s="31" t="n">
        <f aca="false">IF(H89="","",(D89-Inputs!$C$8)/(G89-Inputs!$C$8))</f>
        <v>0.704823794051488</v>
      </c>
      <c r="J89" s="32" t="n">
        <f aca="false">IF(C89&lt;=Inputs!$C$12,1,0)</f>
        <v>0</v>
      </c>
    </row>
    <row r="90" customFormat="false" ht="15" hidden="false" customHeight="false" outlineLevel="0" collapsed="false">
      <c r="B90" s="30" t="n">
        <v>45594</v>
      </c>
      <c r="C90" s="25" t="n">
        <v>152.98</v>
      </c>
      <c r="D90" s="25" t="n">
        <v>32.79</v>
      </c>
      <c r="E90" s="25" t="n">
        <v>153.903</v>
      </c>
      <c r="F90" s="23" t="n">
        <f aca="false">IF(E90="","",IF(E90&lt;=Inputs!$C$12,Inputs!$C$14,IF(E90&gt;=Inputs!$C$13,Inputs!$C$15,Inputs!$C$11/E90))*C90)</f>
        <v>37.0266011708674</v>
      </c>
      <c r="G90" s="25" t="n">
        <v>33.003</v>
      </c>
      <c r="H90" s="23" t="n">
        <f aca="false">IF(OR(G90="",D90=""),"",G90-D90)</f>
        <v>0.213000000000001</v>
      </c>
      <c r="I90" s="31" t="n">
        <f aca="false">IF(H90="","",(D90-Inputs!$C$8)/(G90-Inputs!$C$8))</f>
        <v>0.951623892800363</v>
      </c>
      <c r="J90" s="32" t="n">
        <f aca="false">IF(C90&lt;=Inputs!$C$12,1,0)</f>
        <v>0</v>
      </c>
    </row>
    <row r="91" customFormat="false" ht="15" hidden="false" customHeight="false" outlineLevel="0" collapsed="false">
      <c r="B91" s="30" t="n">
        <v>45595</v>
      </c>
      <c r="C91" s="25" t="n">
        <v>154.29</v>
      </c>
      <c r="D91" s="25" t="n">
        <v>32.89</v>
      </c>
      <c r="E91" s="25" t="n">
        <v>153.565</v>
      </c>
      <c r="F91" s="23" t="n">
        <f aca="false">IF(E91="","",IF(E91&lt;=Inputs!$C$12,Inputs!$C$14,IF(E91&gt;=Inputs!$C$13,Inputs!$C$15,Inputs!$C$11/E91))*C91)</f>
        <v>37.4258620128284</v>
      </c>
      <c r="G91" s="25" t="n">
        <v>33.162</v>
      </c>
      <c r="H91" s="23" t="n">
        <f aca="false">IF(OR(G91="",D91=""),"",G91-D91)</f>
        <v>0.271999999999998</v>
      </c>
      <c r="I91" s="31" t="n">
        <f aca="false">IF(H91="","",(D91-Inputs!$C$8)/(G91-Inputs!$C$8))</f>
        <v>0.940377027619465</v>
      </c>
      <c r="J91" s="32" t="n">
        <f aca="false">IF(C91&lt;=Inputs!$C$12,1,0)</f>
        <v>0</v>
      </c>
    </row>
    <row r="92" customFormat="false" ht="15" hidden="false" customHeight="false" outlineLevel="0" collapsed="false">
      <c r="B92" s="30" t="n">
        <v>45596</v>
      </c>
      <c r="C92" s="25" t="n">
        <v>149.31</v>
      </c>
      <c r="D92" s="25" t="n">
        <v>32.37</v>
      </c>
      <c r="E92" s="25" t="n">
        <v>153.106</v>
      </c>
      <c r="F92" s="23" t="n">
        <f aca="false">IF(E92="","",IF(E92&lt;=Inputs!$C$12,Inputs!$C$14,IF(E92&gt;=Inputs!$C$13,Inputs!$C$15,Inputs!$C$11/E92))*C92)</f>
        <v>36.3264503024049</v>
      </c>
      <c r="G92" s="25" t="n">
        <v>32.362</v>
      </c>
      <c r="H92" s="23" t="n">
        <f aca="false">IF(OR(G92="",D92=""),"",G92-D92)</f>
        <v>-0.00799999999999557</v>
      </c>
      <c r="I92" s="31" t="n">
        <f aca="false">IF(H92="","",(D92-Inputs!$C$8)/(G92-Inputs!$C$8))</f>
        <v>1.00212652844232</v>
      </c>
      <c r="J92" s="32" t="n">
        <f aca="false">IF(C92&lt;=Inputs!$C$12,1,0)</f>
        <v>0</v>
      </c>
    </row>
    <row r="93" customFormat="false" ht="15" hidden="false" customHeight="false" outlineLevel="0" collapsed="false">
      <c r="B93" s="30" t="n">
        <v>45597</v>
      </c>
      <c r="C93" s="25" t="n">
        <v>154.59</v>
      </c>
      <c r="D93" s="25" t="n">
        <v>32.9</v>
      </c>
      <c r="E93" s="25" t="n">
        <v>153.537</v>
      </c>
      <c r="F93" s="23" t="n">
        <f aca="false">IF(E93="","",IF(E93&lt;=Inputs!$C$12,Inputs!$C$14,IF(E93&gt;=Inputs!$C$13,Inputs!$C$15,Inputs!$C$11/E93))*C93)</f>
        <v>37.5054709939624</v>
      </c>
      <c r="G93" s="25" t="n">
        <v>33.089</v>
      </c>
      <c r="H93" s="23" t="n">
        <f aca="false">IF(OR(G93="",D93=""),"",G93-D93)</f>
        <v>0.189</v>
      </c>
      <c r="I93" s="31" t="n">
        <f aca="false">IF(H93="","",(D93-Inputs!$C$8)/(G93-Inputs!$C$8))</f>
        <v>0.957897081755402</v>
      </c>
      <c r="J93" s="32" t="n">
        <f aca="false">IF(C93&lt;=Inputs!$C$12,1,0)</f>
        <v>0</v>
      </c>
    </row>
    <row r="94" customFormat="false" ht="15" hidden="false" customHeight="false" outlineLevel="0" collapsed="false">
      <c r="B94" s="30" t="n">
        <v>45600</v>
      </c>
      <c r="C94" s="25" t="n">
        <v>155.07</v>
      </c>
      <c r="D94" s="25" t="n">
        <v>32.9</v>
      </c>
      <c r="E94" s="25" t="n">
        <v>153.477</v>
      </c>
      <c r="F94" s="23" t="n">
        <f aca="false">IF(E94="","",IF(E94&lt;=Inputs!$C$12,Inputs!$C$14,IF(E94&gt;=Inputs!$C$13,Inputs!$C$15,Inputs!$C$11/E94))*C94)</f>
        <v>37.6366328505248</v>
      </c>
      <c r="G94" s="25" t="n">
        <v>33.141</v>
      </c>
      <c r="H94" s="23" t="n">
        <f aca="false">IF(OR(G94="",D94=""),"",G94-D94)</f>
        <v>0.241</v>
      </c>
      <c r="I94" s="31" t="n">
        <f aca="false">IF(H94="","",(D94-Inputs!$C$8)/(G94-Inputs!$C$8))</f>
        <v>0.946927989429641</v>
      </c>
      <c r="J94" s="32" t="n">
        <f aca="false">IF(C94&lt;=Inputs!$C$12,1,0)</f>
        <v>0</v>
      </c>
    </row>
    <row r="95" customFormat="false" ht="15" hidden="false" customHeight="false" outlineLevel="0" collapsed="false">
      <c r="B95" s="30" t="n">
        <v>45601</v>
      </c>
      <c r="C95" s="25" t="n">
        <v>151</v>
      </c>
      <c r="D95" s="25" t="n">
        <v>32.73</v>
      </c>
      <c r="E95" s="25" t="n">
        <v>153.646</v>
      </c>
      <c r="F95" s="23" t="n">
        <f aca="false">IF(E95="","",IF(E95&lt;=Inputs!$C$12,Inputs!$C$14,IF(E95&gt;=Inputs!$C$13,Inputs!$C$15,Inputs!$C$11/E95))*C95)</f>
        <v>36.6085026619632</v>
      </c>
      <c r="G95" s="25" t="n">
        <v>32.661</v>
      </c>
      <c r="H95" s="23" t="n">
        <f aca="false">IF(OR(G95="",D95=""),"",G95-D95)</f>
        <v>-0.0689999999999955</v>
      </c>
      <c r="I95" s="31" t="n">
        <f aca="false">IF(H95="","",(D95-Inputs!$C$8)/(G95-Inputs!$C$8))</f>
        <v>1.01699088894361</v>
      </c>
      <c r="J95" s="32" t="n">
        <f aca="false">IF(C95&lt;=Inputs!$C$12,1,0)</f>
        <v>0</v>
      </c>
    </row>
    <row r="96" customFormat="false" ht="15" hidden="false" customHeight="false" outlineLevel="0" collapsed="false">
      <c r="B96" s="30" t="n">
        <v>45602</v>
      </c>
      <c r="C96" s="25" t="n">
        <v>147.16</v>
      </c>
      <c r="D96" s="25" t="n">
        <v>31.1</v>
      </c>
      <c r="E96" s="25" t="n">
        <v>153.868</v>
      </c>
      <c r="F96" s="23" t="n">
        <f aca="false">IF(E96="","",IF(E96&lt;=Inputs!$C$12,Inputs!$C$14,IF(E96&gt;=Inputs!$C$13,Inputs!$C$15,Inputs!$C$11/E96))*C96)</f>
        <v>35.6260561000338</v>
      </c>
      <c r="G96" s="25" t="n">
        <v>32.34</v>
      </c>
      <c r="H96" s="23" t="n">
        <f aca="false">IF(OR(G96="",D96=""),"",G96-D96)</f>
        <v>1.24</v>
      </c>
      <c r="I96" s="31" t="n">
        <f aca="false">IF(H96="","",(D96-Inputs!$C$8)/(G96-Inputs!$C$8))</f>
        <v>0.668449197860962</v>
      </c>
      <c r="J96" s="32" t="n">
        <f aca="false">IF(C96&lt;=Inputs!$C$12,1,0)</f>
        <v>1</v>
      </c>
    </row>
    <row r="97" customFormat="false" ht="15" hidden="false" customHeight="false" outlineLevel="0" collapsed="false">
      <c r="B97" s="30" t="n">
        <v>45603</v>
      </c>
      <c r="C97" s="25" t="n">
        <v>150.98</v>
      </c>
      <c r="D97" s="25" t="n">
        <v>30.86</v>
      </c>
      <c r="E97" s="25" t="n">
        <v>153.893</v>
      </c>
      <c r="F97" s="23" t="n">
        <f aca="false">IF(E97="","",IF(E97&lt;=Inputs!$C$12,Inputs!$C$14,IF(E97&gt;=Inputs!$C$13,Inputs!$C$15,Inputs!$C$11/E97))*C97)</f>
        <v>36.5449045765564</v>
      </c>
      <c r="G97" s="25" t="n">
        <v>32.985</v>
      </c>
      <c r="H97" s="23" t="n">
        <f aca="false">IF(OR(G97="",D97=""),"",G97-D97)</f>
        <v>2.125</v>
      </c>
      <c r="I97" s="31" t="n">
        <f aca="false">IF(H97="","",(D97-Inputs!$C$8)/(G97-Inputs!$C$8))</f>
        <v>0.51539338654504</v>
      </c>
      <c r="J97" s="32" t="n">
        <f aca="false">IF(C97&lt;=Inputs!$C$12,1,0)</f>
        <v>0</v>
      </c>
    </row>
    <row r="98" customFormat="false" ht="15" hidden="false" customHeight="false" outlineLevel="0" collapsed="false">
      <c r="B98" s="30" t="n">
        <v>45604</v>
      </c>
      <c r="C98" s="25" t="n">
        <v>151.68</v>
      </c>
      <c r="D98" s="25" t="n">
        <v>31.15</v>
      </c>
      <c r="E98" s="25" t="n">
        <v>153.377</v>
      </c>
      <c r="F98" s="23" t="n">
        <f aca="false">IF(E98="","",IF(E98&lt;=Inputs!$C$12,Inputs!$C$14,IF(E98&gt;=Inputs!$C$13,Inputs!$C$15,Inputs!$C$11/E98))*C98)</f>
        <v>36.8378570450589</v>
      </c>
      <c r="G98" s="25" t="n">
        <v>33.013</v>
      </c>
      <c r="H98" s="23" t="n">
        <f aca="false">IF(OR(G98="",D98=""),"",G98-D98)</f>
        <v>1.863</v>
      </c>
      <c r="I98" s="31" t="n">
        <f aca="false">IF(H98="","",(D98-Inputs!$C$8)/(G98-Inputs!$C$8))</f>
        <v>0.577838205302515</v>
      </c>
      <c r="J98" s="32" t="n">
        <f aca="false">IF(C98&lt;=Inputs!$C$12,1,0)</f>
        <v>0</v>
      </c>
    </row>
    <row r="99" customFormat="false" ht="15" hidden="false" customHeight="false" outlineLevel="0" collapsed="false">
      <c r="B99" s="30" t="n">
        <v>45607</v>
      </c>
      <c r="C99" s="25" t="n">
        <v>148.96</v>
      </c>
      <c r="D99" s="25" t="n">
        <v>31.01</v>
      </c>
      <c r="E99" s="25" t="n">
        <v>153.207</v>
      </c>
      <c r="F99" s="23" t="n">
        <f aca="false">IF(E99="","",IF(E99&lt;=Inputs!$C$12,Inputs!$C$14,IF(E99&gt;=Inputs!$C$13,Inputs!$C$15,Inputs!$C$11/E99))*C99)</f>
        <v>36.2174052099447</v>
      </c>
      <c r="G99" s="25" t="n">
        <v>32.635</v>
      </c>
      <c r="H99" s="23" t="n">
        <f aca="false">IF(OR(G99="",D99=""),"",G99-D99)</f>
        <v>1.625</v>
      </c>
      <c r="I99" s="31" t="n">
        <f aca="false">IF(H99="","",(D99-Inputs!$C$8)/(G99-Inputs!$C$8))</f>
        <v>0.597273853779431</v>
      </c>
      <c r="J99" s="32" t="n">
        <f aca="false">IF(C99&lt;=Inputs!$C$12,1,0)</f>
        <v>1</v>
      </c>
    </row>
    <row r="100" customFormat="false" ht="15" hidden="false" customHeight="false" outlineLevel="0" collapsed="false">
      <c r="B100" s="30" t="n">
        <v>45608</v>
      </c>
      <c r="C100" s="25" t="n">
        <v>145.17</v>
      </c>
      <c r="D100" s="25" t="n">
        <v>31.04</v>
      </c>
      <c r="E100" s="25" t="n">
        <v>153.094</v>
      </c>
      <c r="F100" s="23" t="n">
        <f aca="false">IF(E100="","",IF(E100&lt;=Inputs!$C$12,Inputs!$C$14,IF(E100&gt;=Inputs!$C$13,Inputs!$C$15,Inputs!$C$11/E100))*C100)</f>
        <v>35.3219753876703</v>
      </c>
      <c r="G100" s="25"/>
      <c r="H100" s="23" t="str">
        <f aca="false">IF(OR(G100="",D100=""),"",G100-D100)</f>
        <v/>
      </c>
      <c r="I100" s="31" t="str">
        <f aca="false">IF(H100="","",(D100-Inputs!$C$8)/(G100-Inputs!$C$8))</f>
        <v/>
      </c>
      <c r="J100" s="32" t="n">
        <f aca="false">IF(C100&lt;=Inputs!$C$12,1,0)</f>
        <v>1</v>
      </c>
    </row>
    <row r="101" customFormat="false" ht="15" hidden="false" customHeight="false" outlineLevel="0" collapsed="false">
      <c r="B101" s="30" t="n">
        <v>45609</v>
      </c>
      <c r="C101" s="25" t="n">
        <v>139.97</v>
      </c>
      <c r="D101" s="25" t="n">
        <v>30.41</v>
      </c>
      <c r="E101" s="25" t="n">
        <v>152.662</v>
      </c>
      <c r="F101" s="23" t="n">
        <f aca="false">IF(E101="","",IF(E101&lt;=Inputs!$C$12,Inputs!$C$14,IF(E101&gt;=Inputs!$C$13,Inputs!$C$15,Inputs!$C$11/E101))*C101)</f>
        <v>34.1531127589053</v>
      </c>
      <c r="G101" s="25" t="n">
        <v>31.268</v>
      </c>
      <c r="H101" s="23" t="n">
        <f aca="false">IF(OR(G101="",D101=""),"",G101-D101)</f>
        <v>0.858000000000001</v>
      </c>
      <c r="I101" s="31" t="n">
        <f aca="false">IF(H101="","",(D101-Inputs!$C$8)/(G101-Inputs!$C$8))</f>
        <v>0.678410794602698</v>
      </c>
      <c r="J101" s="32" t="n">
        <f aca="false">IF(C101&lt;=Inputs!$C$12,1,0)</f>
        <v>1</v>
      </c>
    </row>
    <row r="102" customFormat="false" ht="15" hidden="false" customHeight="false" outlineLevel="0" collapsed="false">
      <c r="B102" s="30" t="n">
        <v>45610</v>
      </c>
      <c r="C102" s="25" t="n">
        <v>138.14</v>
      </c>
      <c r="D102" s="25" t="n">
        <v>30.22</v>
      </c>
      <c r="E102" s="25" t="n">
        <v>152.165</v>
      </c>
      <c r="F102" s="23" t="n">
        <f aca="false">IF(E102="","",IF(E102&lt;=Inputs!$C$12,Inputs!$C$14,IF(E102&gt;=Inputs!$C$13,Inputs!$C$15,Inputs!$C$11/E102))*C102)</f>
        <v>33.8166792626425</v>
      </c>
      <c r="G102" s="25" t="n">
        <v>30.921</v>
      </c>
      <c r="H102" s="23" t="n">
        <f aca="false">IF(OR(G102="",D102=""),"",G102-D102)</f>
        <v>0.701000000000001</v>
      </c>
      <c r="I102" s="31" t="n">
        <f aca="false">IF(H102="","",(D102-Inputs!$C$8)/(G102-Inputs!$C$8))</f>
        <v>0.697975010771219</v>
      </c>
      <c r="J102" s="32" t="n">
        <f aca="false">IF(C102&lt;=Inputs!$C$12,1,0)</f>
        <v>1</v>
      </c>
    </row>
    <row r="103" customFormat="false" ht="15" hidden="false" customHeight="false" outlineLevel="0" collapsed="false">
      <c r="B103" s="30" t="n">
        <v>45611</v>
      </c>
      <c r="C103" s="25" t="n">
        <v>140.19</v>
      </c>
      <c r="D103" s="25" t="n">
        <v>30.7</v>
      </c>
      <c r="E103" s="25" t="n">
        <v>151.255</v>
      </c>
      <c r="F103" s="23" t="n">
        <f aca="false">IF(E103="","",IF(E103&lt;=Inputs!$C$12,Inputs!$C$14,IF(E103&gt;=Inputs!$C$13,Inputs!$C$15,Inputs!$C$11/E103))*C103)</f>
        <v>34.5249909093914</v>
      </c>
      <c r="G103" s="25" t="n">
        <v>31.263</v>
      </c>
      <c r="H103" s="23" t="n">
        <f aca="false">IF(OR(G103="",D103=""),"",G103-D103)</f>
        <v>0.563000000000002</v>
      </c>
      <c r="I103" s="31" t="n">
        <f aca="false">IF(H103="","",(D103-Inputs!$C$8)/(G103-Inputs!$C$8))</f>
        <v>0.788584303417198</v>
      </c>
      <c r="J103" s="32" t="n">
        <f aca="false">IF(C103&lt;=Inputs!$C$12,1,0)</f>
        <v>1</v>
      </c>
    </row>
    <row r="104" customFormat="false" ht="15" hidden="false" customHeight="false" outlineLevel="0" collapsed="false">
      <c r="B104" s="30" t="n">
        <v>45614</v>
      </c>
      <c r="C104" s="25" t="n">
        <v>143.87</v>
      </c>
      <c r="D104" s="25" t="n">
        <v>31.34</v>
      </c>
      <c r="E104" s="25" t="n">
        <v>150.613</v>
      </c>
      <c r="F104" s="23" t="n">
        <f aca="false">IF(E104="","",IF(E104&lt;=Inputs!$C$12,Inputs!$C$14,IF(E104&gt;=Inputs!$C$13,Inputs!$C$15,Inputs!$C$11/E104))*C104)</f>
        <v>35.5823036524072</v>
      </c>
      <c r="G104" s="25" t="n">
        <v>32.016</v>
      </c>
      <c r="H104" s="23" t="n">
        <f aca="false">IF(OR(G104="",D104=""),"",G104-D104)</f>
        <v>0.675999999999998</v>
      </c>
      <c r="I104" s="31" t="n">
        <f aca="false">IF(H104="","",(D104-Inputs!$C$8)/(G104-Inputs!$C$8))</f>
        <v>0.802107728337237</v>
      </c>
      <c r="J104" s="32" t="n">
        <f aca="false">IF(C104&lt;=Inputs!$C$12,1,0)</f>
        <v>1</v>
      </c>
    </row>
    <row r="105" customFormat="false" ht="15" hidden="false" customHeight="false" outlineLevel="0" collapsed="false">
      <c r="B105" s="30" t="n">
        <v>45615</v>
      </c>
      <c r="C105" s="25" t="n">
        <v>145.6</v>
      </c>
      <c r="D105" s="25" t="n">
        <v>31.84</v>
      </c>
      <c r="E105" s="25" t="n">
        <v>150.115</v>
      </c>
      <c r="F105" s="23" t="n">
        <f aca="false">IF(E105="","",IF(E105&lt;=Inputs!$C$12,Inputs!$C$14,IF(E105&gt;=Inputs!$C$13,Inputs!$C$15,Inputs!$C$11/E105))*C105)</f>
        <v>36.1296339473071</v>
      </c>
      <c r="G105" s="25" t="n">
        <v>32.202</v>
      </c>
      <c r="H105" s="23" t="n">
        <f aca="false">IF(OR(G105="",D105=""),"",G105-D105)</f>
        <v>0.361999999999998</v>
      </c>
      <c r="I105" s="31" t="n">
        <f aca="false">IF(H105="","",(D105-Inputs!$C$8)/(G105-Inputs!$C$8))</f>
        <v>0.899500277623543</v>
      </c>
      <c r="J105" s="32" t="n">
        <f aca="false">IF(C105&lt;=Inputs!$C$12,1,0)</f>
        <v>1</v>
      </c>
    </row>
    <row r="106" customFormat="false" ht="15" hidden="false" customHeight="false" outlineLevel="0" collapsed="false">
      <c r="B106" s="30" t="n">
        <v>45616</v>
      </c>
      <c r="C106" s="25" t="n">
        <v>146.08</v>
      </c>
      <c r="D106" s="25" t="n">
        <v>31.93</v>
      </c>
      <c r="E106" s="25" t="n">
        <v>149.707</v>
      </c>
      <c r="F106" s="23" t="n">
        <f aca="false">IF(E106="","",IF(E106&lt;=Inputs!$C$12,Inputs!$C$14,IF(E106&gt;=Inputs!$C$13,Inputs!$C$15,Inputs!$C$11/E106))*C106)</f>
        <v>36.347532179524</v>
      </c>
      <c r="G106" s="25" t="n">
        <v>32.199</v>
      </c>
      <c r="H106" s="23" t="n">
        <f aca="false">IF(OR(G106="",D106=""),"",G106-D106)</f>
        <v>0.268999999999998</v>
      </c>
      <c r="I106" s="31" t="n">
        <f aca="false">IF(H106="","",(D106-Inputs!$C$8)/(G106-Inputs!$C$8))</f>
        <v>0.925257015837733</v>
      </c>
      <c r="J106" s="32" t="n">
        <f aca="false">IF(C106&lt;=Inputs!$C$12,1,0)</f>
        <v>1</v>
      </c>
    </row>
    <row r="107" customFormat="false" ht="15" hidden="false" customHeight="false" outlineLevel="0" collapsed="false">
      <c r="B107" s="30" t="n">
        <v>45617</v>
      </c>
      <c r="C107" s="25" t="n">
        <v>143.41</v>
      </c>
      <c r="D107" s="25" t="n">
        <v>31.38</v>
      </c>
      <c r="E107" s="25" t="n">
        <v>148.992</v>
      </c>
      <c r="F107" s="23" t="n">
        <f aca="false">IF(E107="","",IF(E107&lt;=Inputs!$C$12,Inputs!$C$14,IF(E107&gt;=Inputs!$C$13,Inputs!$C$15,Inputs!$C$11/E107))*C107)</f>
        <v>35.8525</v>
      </c>
      <c r="G107" s="25" t="n">
        <v>31.86</v>
      </c>
      <c r="H107" s="23" t="n">
        <f aca="false">IF(OR(G107="",D107=""),"",G107-D107)</f>
        <v>0.48</v>
      </c>
      <c r="I107" s="31" t="n">
        <f aca="false">IF(H107="","",(D107-Inputs!$C$8)/(G107-Inputs!$C$8))</f>
        <v>0.852760736196319</v>
      </c>
      <c r="J107" s="32" t="n">
        <f aca="false">IF(C107&lt;=Inputs!$C$12,1,0)</f>
        <v>1</v>
      </c>
    </row>
    <row r="108" customFormat="false" ht="15" hidden="false" customHeight="false" outlineLevel="0" collapsed="false">
      <c r="B108" s="30" t="n">
        <v>45618</v>
      </c>
      <c r="C108" s="25" t="n">
        <v>149.29</v>
      </c>
      <c r="D108" s="25" t="n">
        <v>32.5</v>
      </c>
      <c r="E108" s="25" t="n">
        <v>147.78</v>
      </c>
      <c r="F108" s="23" t="n">
        <f aca="false">IF(E108="","",IF(E108&lt;=Inputs!$C$12,Inputs!$C$14,IF(E108&gt;=Inputs!$C$13,Inputs!$C$15,Inputs!$C$11/E108))*C108)</f>
        <v>37.3225</v>
      </c>
      <c r="G108" s="25" t="n">
        <v>32.719</v>
      </c>
      <c r="H108" s="23" t="n">
        <f aca="false">IF(OR(G108="",D108=""),"",G108-D108)</f>
        <v>0.219000000000001</v>
      </c>
      <c r="I108" s="31" t="n">
        <f aca="false">IF(H108="","",(D108-Inputs!$C$8)/(G108-Inputs!$C$8))</f>
        <v>0.946831755280408</v>
      </c>
      <c r="J108" s="32" t="n">
        <f aca="false">IF(C108&lt;=Inputs!$C$12,1,0)</f>
        <v>0</v>
      </c>
    </row>
    <row r="109" customFormat="false" ht="15" hidden="false" customHeight="false" outlineLevel="0" collapsed="false">
      <c r="B109" s="30" t="n">
        <v>45621</v>
      </c>
      <c r="C109" s="25" t="n">
        <v>153.1</v>
      </c>
      <c r="D109" s="25" t="n">
        <v>32.6</v>
      </c>
      <c r="E109" s="25" t="n">
        <v>147.278</v>
      </c>
      <c r="F109" s="23" t="n">
        <f aca="false">IF(E109="","",IF(E109&lt;=Inputs!$C$12,Inputs!$C$14,IF(E109&gt;=Inputs!$C$13,Inputs!$C$15,Inputs!$C$11/E109))*C109)</f>
        <v>38.275</v>
      </c>
      <c r="G109" s="25" t="n">
        <v>33.266</v>
      </c>
      <c r="H109" s="23" t="n">
        <f aca="false">IF(OR(G109="",D109=""),"",G109-D109)</f>
        <v>0.665999999999997</v>
      </c>
      <c r="I109" s="31" t="n">
        <f aca="false">IF(H109="","",(D109-Inputs!$C$8)/(G109-Inputs!$C$8))</f>
        <v>0.85726532361766</v>
      </c>
      <c r="J109" s="32" t="n">
        <f aca="false">IF(C109&lt;=Inputs!$C$12,1,0)</f>
        <v>0</v>
      </c>
    </row>
    <row r="110" customFormat="false" ht="15" hidden="false" customHeight="false" outlineLevel="0" collapsed="false">
      <c r="B110" s="30" t="n">
        <v>45622</v>
      </c>
      <c r="C110" s="25" t="n">
        <v>150.76</v>
      </c>
      <c r="D110" s="25" t="n">
        <v>32.35</v>
      </c>
      <c r="E110" s="25" t="n">
        <v>146.729</v>
      </c>
      <c r="F110" s="23" t="n">
        <f aca="false">IF(E110="","",IF(E110&lt;=Inputs!$C$12,Inputs!$C$14,IF(E110&gt;=Inputs!$C$13,Inputs!$C$15,Inputs!$C$11/E110))*C110)</f>
        <v>37.69</v>
      </c>
      <c r="G110" s="25" t="n">
        <v>32.963</v>
      </c>
      <c r="H110" s="23" t="n">
        <f aca="false">IF(OR(G110="",D110=""),"",G110-D110)</f>
        <v>0.613</v>
      </c>
      <c r="I110" s="31" t="n">
        <f aca="false">IF(H110="","",(D110-Inputs!$C$8)/(G110-Inputs!$C$8))</f>
        <v>0.859500343800138</v>
      </c>
      <c r="J110" s="32" t="n">
        <f aca="false">IF(C110&lt;=Inputs!$C$12,1,0)</f>
        <v>0</v>
      </c>
    </row>
    <row r="111" customFormat="false" ht="15" hidden="false" customHeight="false" outlineLevel="0" collapsed="false">
      <c r="B111" s="30" t="n">
        <v>45623</v>
      </c>
      <c r="C111" s="25" t="n">
        <v>152.4</v>
      </c>
      <c r="D111" s="25" t="n">
        <v>32.53</v>
      </c>
      <c r="E111" s="25" t="n">
        <v>146.655</v>
      </c>
      <c r="F111" s="23" t="n">
        <f aca="false">IF(E111="","",IF(E111&lt;=Inputs!$C$12,Inputs!$C$14,IF(E111&gt;=Inputs!$C$13,Inputs!$C$15,Inputs!$C$11/E111))*C111)</f>
        <v>38.1</v>
      </c>
      <c r="G111" s="25" t="n">
        <v>33.261</v>
      </c>
      <c r="H111" s="23" t="n">
        <f aca="false">IF(OR(G111="",D111=""),"",G111-D111)</f>
        <v>0.731000000000002</v>
      </c>
      <c r="I111" s="31" t="n">
        <f aca="false">IF(H111="","",(D111-Inputs!$C$8)/(G111-Inputs!$C$8))</f>
        <v>0.843166702424372</v>
      </c>
      <c r="J111" s="32" t="n">
        <f aca="false">IF(C111&lt;=Inputs!$C$12,1,0)</f>
        <v>0</v>
      </c>
    </row>
    <row r="112" customFormat="false" ht="15" hidden="false" customHeight="false" outlineLevel="0" collapsed="false">
      <c r="B112" s="30" t="n">
        <v>45625</v>
      </c>
      <c r="C112" s="25" t="n">
        <v>155.44</v>
      </c>
      <c r="D112" s="25" t="n">
        <v>32.36</v>
      </c>
      <c r="E112" s="25" t="n">
        <v>146.106</v>
      </c>
      <c r="F112" s="23" t="n">
        <f aca="false">IF(E112="","",IF(E112&lt;=Inputs!$C$12,Inputs!$C$14,IF(E112&gt;=Inputs!$C$13,Inputs!$C$15,Inputs!$C$11/E112))*C112)</f>
        <v>38.86</v>
      </c>
      <c r="G112" s="25" t="n">
        <v>33.622</v>
      </c>
      <c r="H112" s="23" t="n">
        <f aca="false">IF(OR(G112="",D112=""),"",G112-D112)</f>
        <v>1.262</v>
      </c>
      <c r="I112" s="31" t="n">
        <f aca="false">IF(H112="","",(D112-Inputs!$C$8)/(G112-Inputs!$C$8))</f>
        <v>0.748705694942254</v>
      </c>
      <c r="J112" s="32" t="n">
        <f aca="false">IF(C112&lt;=Inputs!$C$12,1,0)</f>
        <v>0</v>
      </c>
    </row>
    <row r="113" customFormat="false" ht="15" hidden="false" customHeight="false" outlineLevel="0" collapsed="false">
      <c r="B113" s="30" t="n">
        <v>45628</v>
      </c>
      <c r="C113" s="25" t="n">
        <v>156.54</v>
      </c>
      <c r="D113" s="25" t="n">
        <v>32.75</v>
      </c>
      <c r="E113" s="25" t="n">
        <v>145.95</v>
      </c>
      <c r="F113" s="23" t="n">
        <f aca="false">IF(E113="","",IF(E113&lt;=Inputs!$C$12,Inputs!$C$14,IF(E113&gt;=Inputs!$C$13,Inputs!$C$15,Inputs!$C$11/E113))*C113)</f>
        <v>39.135</v>
      </c>
      <c r="G113" s="25" t="n">
        <v>33.721</v>
      </c>
      <c r="H113" s="23" t="n">
        <f aca="false">IF(OR(G113="",D113=""),"",G113-D113)</f>
        <v>0.970999999999997</v>
      </c>
      <c r="I113" s="31" t="n">
        <f aca="false">IF(H113="","",(D113-Inputs!$C$8)/(G113-Inputs!$C$8))</f>
        <v>0.810388595977349</v>
      </c>
      <c r="J113" s="32" t="n">
        <f aca="false">IF(C113&lt;=Inputs!$C$12,1,0)</f>
        <v>0</v>
      </c>
    </row>
    <row r="114" customFormat="false" ht="15" hidden="false" customHeight="false" outlineLevel="0" collapsed="false">
      <c r="B114" s="30" t="n">
        <v>45629</v>
      </c>
      <c r="C114" s="25" t="n">
        <v>155</v>
      </c>
      <c r="D114" s="25" t="n">
        <v>32.43</v>
      </c>
      <c r="E114" s="25" t="n">
        <v>145.929</v>
      </c>
      <c r="F114" s="23" t="n">
        <f aca="false">IF(E114="","",IF(E114&lt;=Inputs!$C$12,Inputs!$C$14,IF(E114&gt;=Inputs!$C$13,Inputs!$C$15,Inputs!$C$11/E114))*C114)</f>
        <v>38.75</v>
      </c>
      <c r="G114" s="25" t="n">
        <v>33.556</v>
      </c>
      <c r="H114" s="23" t="n">
        <f aca="false">IF(OR(G114="",D114=""),"",G114-D114)</f>
        <v>1.126</v>
      </c>
      <c r="I114" s="31" t="n">
        <f aca="false">IF(H114="","",(D114-Inputs!$C$8)/(G114-Inputs!$C$8))</f>
        <v>0.772800645682002</v>
      </c>
      <c r="J114" s="32" t="n">
        <f aca="false">IF(C114&lt;=Inputs!$C$12,1,0)</f>
        <v>0</v>
      </c>
    </row>
    <row r="115" customFormat="false" ht="15" hidden="false" customHeight="false" outlineLevel="0" collapsed="false">
      <c r="B115" s="30" t="n">
        <v>45630</v>
      </c>
      <c r="C115" s="25" t="n">
        <v>158.28</v>
      </c>
      <c r="D115" s="25" t="n">
        <v>32.95</v>
      </c>
      <c r="E115" s="25" t="n">
        <v>146.206</v>
      </c>
      <c r="F115" s="23" t="n">
        <f aca="false">IF(E115="","",IF(E115&lt;=Inputs!$C$12,Inputs!$C$14,IF(E115&gt;=Inputs!$C$13,Inputs!$C$15,Inputs!$C$11/E115))*C115)</f>
        <v>39.57</v>
      </c>
      <c r="G115" s="25" t="n">
        <v>34.011</v>
      </c>
      <c r="H115" s="23" t="n">
        <f aca="false">IF(OR(G115="",D115=""),"",G115-D115)</f>
        <v>1.061</v>
      </c>
      <c r="I115" s="31" t="n">
        <f aca="false">IF(H115="","",(D115-Inputs!$C$8)/(G115-Inputs!$C$8))</f>
        <v>0.803917944927001</v>
      </c>
      <c r="J115" s="32" t="n">
        <f aca="false">IF(C115&lt;=Inputs!$C$12,1,0)</f>
        <v>0</v>
      </c>
    </row>
    <row r="116" customFormat="false" ht="15" hidden="false" customHeight="false" outlineLevel="0" collapsed="false">
      <c r="B116" s="30" t="n">
        <v>45631</v>
      </c>
      <c r="C116" s="25" t="n">
        <v>156.67</v>
      </c>
      <c r="D116" s="25" t="n">
        <v>32.4</v>
      </c>
      <c r="E116" s="25" t="n">
        <v>146.265</v>
      </c>
      <c r="F116" s="23" t="n">
        <f aca="false">IF(E116="","",IF(E116&lt;=Inputs!$C$12,Inputs!$C$14,IF(E116&gt;=Inputs!$C$13,Inputs!$C$15,Inputs!$C$11/E116))*C116)</f>
        <v>39.1675</v>
      </c>
      <c r="G116" s="25" t="n">
        <v>33.747</v>
      </c>
      <c r="H116" s="23" t="n">
        <f aca="false">IF(OR(G116="",D116=""),"",G116-D116)</f>
        <v>1.347</v>
      </c>
      <c r="I116" s="31" t="n">
        <f aca="false">IF(H116="","",(D116-Inputs!$C$8)/(G116-Inputs!$C$8))</f>
        <v>0.738294151933165</v>
      </c>
      <c r="J116" s="32" t="n">
        <f aca="false">IF(C116&lt;=Inputs!$C$12,1,0)</f>
        <v>0</v>
      </c>
    </row>
    <row r="117" customFormat="false" ht="15" hidden="false" customHeight="false" outlineLevel="0" collapsed="false">
      <c r="B117" s="30" t="n">
        <v>45632</v>
      </c>
      <c r="C117" s="25" t="n">
        <v>153.93</v>
      </c>
      <c r="D117" s="25" t="n">
        <v>32.21</v>
      </c>
      <c r="E117" s="25" t="n">
        <v>146.98</v>
      </c>
      <c r="F117" s="23" t="n">
        <f aca="false">IF(E117="","",IF(E117&lt;=Inputs!$C$12,Inputs!$C$14,IF(E117&gt;=Inputs!$C$13,Inputs!$C$15,Inputs!$C$11/E117))*C117)</f>
        <v>38.4825</v>
      </c>
      <c r="G117" s="25" t="n">
        <v>33.566</v>
      </c>
      <c r="H117" s="23" t="n">
        <f aca="false">IF(OR(G117="",D117=""),"",G117-D117)</f>
        <v>1.356</v>
      </c>
      <c r="I117" s="31" t="n">
        <f aca="false">IF(H117="","",(D117-Inputs!$C$8)/(G117-Inputs!$C$8))</f>
        <v>0.726943213854208</v>
      </c>
      <c r="J117" s="32" t="n">
        <f aca="false">IF(C117&lt;=Inputs!$C$12,1,0)</f>
        <v>0</v>
      </c>
    </row>
    <row r="118" customFormat="false" ht="15" hidden="false" customHeight="false" outlineLevel="0" collapsed="false">
      <c r="B118" s="30" t="n">
        <v>45635</v>
      </c>
      <c r="C118" s="25" t="n">
        <v>157.04</v>
      </c>
      <c r="D118" s="25" t="n">
        <v>32.09</v>
      </c>
      <c r="E118" s="25" t="n">
        <v>148.327</v>
      </c>
      <c r="F118" s="23" t="n">
        <f aca="false">IF(E118="","",IF(E118&lt;=Inputs!$C$12,Inputs!$C$14,IF(E118&gt;=Inputs!$C$13,Inputs!$C$15,Inputs!$C$11/E118))*C118)</f>
        <v>39.26</v>
      </c>
      <c r="G118" s="25" t="n">
        <v>33.906</v>
      </c>
      <c r="H118" s="23" t="n">
        <f aca="false">IF(OR(G118="",D118=""),"",G118-D118)</f>
        <v>1.816</v>
      </c>
      <c r="I118" s="31" t="n">
        <f aca="false">IF(H118="","",(D118-Inputs!$C$8)/(G118-Inputs!$C$8))</f>
        <v>0.657745947983416</v>
      </c>
      <c r="J118" s="32" t="n">
        <f aca="false">IF(C118&lt;=Inputs!$C$12,1,0)</f>
        <v>0</v>
      </c>
    </row>
    <row r="119" customFormat="false" ht="15" hidden="false" customHeight="false" outlineLevel="0" collapsed="false">
      <c r="B119" s="30" t="n">
        <v>45636</v>
      </c>
      <c r="C119" s="25" t="n">
        <v>164.1</v>
      </c>
      <c r="D119" s="25" t="n">
        <v>32.58</v>
      </c>
      <c r="E119" s="25" t="n">
        <v>149.849</v>
      </c>
      <c r="F119" s="23" t="n">
        <f aca="false">IF(E119="","",IF(E119&lt;=Inputs!$C$12,Inputs!$C$14,IF(E119&gt;=Inputs!$C$13,Inputs!$C$15,Inputs!$C$11/E119))*C119)</f>
        <v>40.792564514945</v>
      </c>
      <c r="G119" s="25" t="n">
        <v>34.765</v>
      </c>
      <c r="H119" s="23" t="n">
        <f aca="false">IF(OR(G119="",D119=""),"",G119-D119)</f>
        <v>2.185</v>
      </c>
      <c r="I119" s="31" t="n">
        <f aca="false">IF(H119="","",(D119-Inputs!$C$8)/(G119-Inputs!$C$8))</f>
        <v>0.645579886455798</v>
      </c>
      <c r="J119" s="32" t="n">
        <f aca="false">IF(C119&lt;=Inputs!$C$12,1,0)</f>
        <v>0</v>
      </c>
    </row>
    <row r="120" customFormat="false" ht="15" hidden="false" customHeight="false" outlineLevel="0" collapsed="false">
      <c r="B120" s="30" t="n">
        <v>45637</v>
      </c>
      <c r="C120" s="25" t="n">
        <v>165.96</v>
      </c>
      <c r="D120" s="25" t="n">
        <v>32.72</v>
      </c>
      <c r="E120" s="25" t="n">
        <v>151.52</v>
      </c>
      <c r="F120" s="23" t="n">
        <f aca="false">IF(E120="","",IF(E120&lt;=Inputs!$C$12,Inputs!$C$14,IF(E120&gt;=Inputs!$C$13,Inputs!$C$15,Inputs!$C$11/E120))*C120)</f>
        <v>40.7999604012672</v>
      </c>
      <c r="G120" s="25" t="n">
        <v>35.066</v>
      </c>
      <c r="H120" s="23" t="n">
        <f aca="false">IF(OR(G120="",D120=""),"",G120-D120)</f>
        <v>2.346</v>
      </c>
      <c r="I120" s="31" t="n">
        <f aca="false">IF(H120="","",(D120-Inputs!$C$8)/(G120-Inputs!$C$8))</f>
        <v>0.637179090627899</v>
      </c>
      <c r="J120" s="32" t="n">
        <f aca="false">IF(C120&lt;=Inputs!$C$12,1,0)</f>
        <v>0</v>
      </c>
    </row>
    <row r="121" customFormat="false" ht="15" hidden="false" customHeight="false" outlineLevel="0" collapsed="false">
      <c r="B121" s="30" t="n">
        <v>45638</v>
      </c>
      <c r="C121" s="25" t="n">
        <v>167.75</v>
      </c>
      <c r="D121" s="25" t="n">
        <v>32.49</v>
      </c>
      <c r="E121" s="25" t="n">
        <v>153.945</v>
      </c>
      <c r="F121" s="23" t="n">
        <f aca="false">IF(E121="","",IF(E121&lt;=Inputs!$C$12,Inputs!$C$14,IF(E121&gt;=Inputs!$C$13,Inputs!$C$15,Inputs!$C$11/E121))*C121)</f>
        <v>40.5903894247946</v>
      </c>
      <c r="G121" s="25" t="n">
        <v>35.303</v>
      </c>
      <c r="H121" s="23" t="n">
        <f aca="false">IF(OR(G121="",D121=""),"",G121-D121)</f>
        <v>2.813</v>
      </c>
      <c r="I121" s="31" t="n">
        <f aca="false">IF(H121="","",(D121-Inputs!$C$8)/(G121-Inputs!$C$8))</f>
        <v>0.580337162464569</v>
      </c>
      <c r="J121" s="32" t="n">
        <f aca="false">IF(C121&lt;=Inputs!$C$12,1,0)</f>
        <v>0</v>
      </c>
    </row>
    <row r="122" customFormat="false" ht="15" hidden="false" customHeight="false" outlineLevel="0" collapsed="false">
      <c r="B122" s="30" t="n">
        <v>45639</v>
      </c>
      <c r="C122" s="25" t="n">
        <v>169.65</v>
      </c>
      <c r="D122" s="25" t="n">
        <v>32.97</v>
      </c>
      <c r="E122" s="25" t="n">
        <v>155.558</v>
      </c>
      <c r="F122" s="23" t="n">
        <f aca="false">IF(E122="","",IF(E122&lt;=Inputs!$C$12,Inputs!$C$14,IF(E122&gt;=Inputs!$C$13,Inputs!$C$15,Inputs!$C$11/E122))*C122)</f>
        <v>40.6244776867792</v>
      </c>
      <c r="G122" s="25" t="n">
        <v>35.469</v>
      </c>
      <c r="H122" s="23" t="n">
        <f aca="false">IF(OR(G122="",D122=""),"",G122-D122)</f>
        <v>2.499</v>
      </c>
      <c r="I122" s="31" t="n">
        <f aca="false">IF(H122="","",(D122-Inputs!$C$8)/(G122-Inputs!$C$8))</f>
        <v>0.636191585383607</v>
      </c>
      <c r="J122" s="32" t="n">
        <f aca="false">IF(C122&lt;=Inputs!$C$12,1,0)</f>
        <v>0</v>
      </c>
    </row>
    <row r="123" customFormat="false" ht="15" hidden="false" customHeight="false" outlineLevel="0" collapsed="false">
      <c r="B123" s="30" t="n">
        <v>45642</v>
      </c>
      <c r="C123" s="25" t="n">
        <v>173.17</v>
      </c>
      <c r="D123" s="25" t="n">
        <v>33.46</v>
      </c>
      <c r="E123" s="25" t="n">
        <v>156.972</v>
      </c>
      <c r="F123" s="23" t="n">
        <f aca="false">IF(E123="","",IF(E123&lt;=Inputs!$C$12,Inputs!$C$14,IF(E123&gt;=Inputs!$C$13,Inputs!$C$15,Inputs!$C$11/E123))*C123)</f>
        <v>41.0938415768417</v>
      </c>
      <c r="G123" s="25" t="n">
        <v>35.997</v>
      </c>
      <c r="H123" s="23" t="n">
        <f aca="false">IF(OR(G123="",D123=""),"",G123-D123)</f>
        <v>2.537</v>
      </c>
      <c r="I123" s="31" t="n">
        <f aca="false">IF(H123="","",(D123-Inputs!$C$8)/(G123-Inputs!$C$8))</f>
        <v>0.65702311748006</v>
      </c>
      <c r="J123" s="32" t="n">
        <f aca="false">IF(C123&lt;=Inputs!$C$12,1,0)</f>
        <v>0</v>
      </c>
    </row>
    <row r="124" customFormat="false" ht="15" hidden="false" customHeight="false" outlineLevel="0" collapsed="false">
      <c r="B124" s="30" t="n">
        <v>45643</v>
      </c>
      <c r="C124" s="25" t="n">
        <v>173.03</v>
      </c>
      <c r="D124" s="25" t="n">
        <v>33.12</v>
      </c>
      <c r="E124" s="25" t="n">
        <v>158.404</v>
      </c>
      <c r="F124" s="23" t="n">
        <f aca="false">IF(E124="","",IF(E124&lt;=Inputs!$C$12,Inputs!$C$14,IF(E124&gt;=Inputs!$C$13,Inputs!$C$15,Inputs!$C$11/E124))*C124)</f>
        <v>40.6894238781849</v>
      </c>
      <c r="G124" s="25" t="n">
        <v>35.996</v>
      </c>
      <c r="H124" s="23" t="n">
        <f aca="false">IF(OR(G124="",D124=""),"",G124-D124)</f>
        <v>2.876</v>
      </c>
      <c r="I124" s="31" t="n">
        <f aca="false">IF(H124="","",(D124-Inputs!$C$8)/(G124-Inputs!$C$8))</f>
        <v>0.611141157382368</v>
      </c>
      <c r="J124" s="32" t="n">
        <f aca="false">IF(C124&lt;=Inputs!$C$12,1,0)</f>
        <v>0</v>
      </c>
    </row>
    <row r="125" customFormat="false" ht="15" hidden="false" customHeight="false" outlineLevel="0" collapsed="false">
      <c r="B125" s="30" t="n">
        <v>45644</v>
      </c>
      <c r="C125" s="25" t="n">
        <v>172.62</v>
      </c>
      <c r="D125" s="25" t="n">
        <v>32.85</v>
      </c>
      <c r="E125" s="25" t="n">
        <v>160.454</v>
      </c>
      <c r="F125" s="23" t="n">
        <f aca="false">IF(E125="","",IF(E125&lt;=Inputs!$C$12,Inputs!$C$14,IF(E125&gt;=Inputs!$C$13,Inputs!$C$15,Inputs!$C$11/E125))*C125)</f>
        <v>40.0743826891196</v>
      </c>
      <c r="G125" s="25" t="n">
        <v>35.816</v>
      </c>
      <c r="H125" s="23" t="n">
        <f aca="false">IF(OR(G125="",D125=""),"",G125-D125)</f>
        <v>2.966</v>
      </c>
      <c r="I125" s="31" t="n">
        <f aca="false">IF(H125="","",(D125-Inputs!$C$8)/(G125-Inputs!$C$8))</f>
        <v>0.588968957871397</v>
      </c>
      <c r="J125" s="32" t="n">
        <f aca="false">IF(C125&lt;=Inputs!$C$12,1,0)</f>
        <v>0</v>
      </c>
    </row>
    <row r="126" customFormat="false" ht="15" hidden="false" customHeight="false" outlineLevel="0" collapsed="false">
      <c r="B126" s="30" t="n">
        <v>45645</v>
      </c>
      <c r="C126" s="25" t="n">
        <v>177.04</v>
      </c>
      <c r="D126" s="25" t="n">
        <v>33.17</v>
      </c>
      <c r="E126" s="25" t="n">
        <v>162.205</v>
      </c>
      <c r="F126" s="23" t="n">
        <f aca="false">IF(E126="","",IF(E126&lt;=Inputs!$C$12,Inputs!$C$14,IF(E126&gt;=Inputs!$C$13,Inputs!$C$15,Inputs!$C$11/E126))*C126)</f>
        <v>40.656823155883</v>
      </c>
      <c r="G126" s="25" t="n">
        <v>36.376</v>
      </c>
      <c r="H126" s="23" t="n">
        <f aca="false">IF(OR(G126="",D126=""),"",G126-D126)</f>
        <v>3.206</v>
      </c>
      <c r="I126" s="31" t="n">
        <f aca="false">IF(H126="","",(D126-Inputs!$C$8)/(G126-Inputs!$C$8))</f>
        <v>0.587705761316873</v>
      </c>
      <c r="J126" s="32" t="n">
        <f aca="false">IF(C126&lt;=Inputs!$C$12,1,0)</f>
        <v>0</v>
      </c>
    </row>
    <row r="127" customFormat="false" ht="15" hidden="false" customHeight="false" outlineLevel="0" collapsed="false">
      <c r="B127" s="30" t="n">
        <v>45646</v>
      </c>
      <c r="C127" s="25" t="n">
        <v>177.35</v>
      </c>
      <c r="D127" s="25" t="n">
        <v>33.26</v>
      </c>
      <c r="E127" s="25" t="n">
        <v>163.883</v>
      </c>
      <c r="F127" s="23" t="n">
        <f aca="false">IF(E127="","",IF(E127&lt;=Inputs!$C$12,Inputs!$C$14,IF(E127&gt;=Inputs!$C$13,Inputs!$C$15,Inputs!$C$11/E127))*C127)</f>
        <v>40.3109993104837</v>
      </c>
      <c r="G127" s="25" t="n">
        <v>36.442</v>
      </c>
      <c r="H127" s="23" t="n">
        <f aca="false">IF(OR(G127="",D127=""),"",G127-D127)</f>
        <v>3.182</v>
      </c>
      <c r="I127" s="31" t="n">
        <f aca="false">IF(H127="","",(D127-Inputs!$C$8)/(G127-Inputs!$C$8))</f>
        <v>0.594236164243815</v>
      </c>
      <c r="J127" s="32" t="n">
        <f aca="false">IF(C127&lt;=Inputs!$C$12,1,0)</f>
        <v>0</v>
      </c>
    </row>
    <row r="128" customFormat="false" ht="15" hidden="false" customHeight="false" outlineLevel="0" collapsed="false">
      <c r="B128" s="30" t="n">
        <v>45649</v>
      </c>
      <c r="C128" s="25" t="n">
        <v>177.69</v>
      </c>
      <c r="D128" s="25" t="n">
        <v>33.33</v>
      </c>
      <c r="E128" s="25" t="n">
        <v>165.356</v>
      </c>
      <c r="F128" s="23" t="n">
        <f aca="false">IF(E128="","",IF(E128&lt;=Inputs!$C$12,Inputs!$C$14,IF(E128&gt;=Inputs!$C$13,Inputs!$C$15,Inputs!$C$11/E128))*C128)</f>
        <v>40.0284991170565</v>
      </c>
      <c r="G128" s="25" t="n">
        <v>36.452</v>
      </c>
      <c r="H128" s="23" t="n">
        <f aca="false">IF(OR(G128="",D128=""),"",G128-D128)</f>
        <v>3.122</v>
      </c>
      <c r="I128" s="31" t="n">
        <f aca="false">IF(H128="","",(D128-Inputs!$C$8)/(G128-Inputs!$C$8))</f>
        <v>0.602394294447274</v>
      </c>
      <c r="J128" s="32" t="n">
        <f aca="false">IF(C128&lt;=Inputs!$C$12,1,0)</f>
        <v>0</v>
      </c>
    </row>
    <row r="129" customFormat="false" ht="15" hidden="false" customHeight="false" outlineLevel="0" collapsed="false">
      <c r="B129" s="30" t="n">
        <v>45650</v>
      </c>
      <c r="C129" s="25" t="n">
        <v>179.34</v>
      </c>
      <c r="D129" s="25" t="n">
        <v>33.57</v>
      </c>
      <c r="E129" s="25" t="n">
        <v>167.175</v>
      </c>
      <c r="F129" s="23" t="n">
        <f aca="false">IF(E129="","",IF(E129&lt;=Inputs!$C$12,Inputs!$C$14,IF(E129&gt;=Inputs!$C$13,Inputs!$C$15,Inputs!$C$11/E129))*C129)</f>
        <v>39.9606101390758</v>
      </c>
      <c r="G129" s="25" t="n">
        <v>36.599</v>
      </c>
      <c r="H129" s="23" t="n">
        <f aca="false">IF(OR(G129="",D129=""),"",G129-D129)</f>
        <v>3.029</v>
      </c>
      <c r="I129" s="31" t="n">
        <f aca="false">IF(H129="","",(D129-Inputs!$C$8)/(G129-Inputs!$C$8))</f>
        <v>0.621327665958245</v>
      </c>
      <c r="J129" s="32" t="n">
        <f aca="false">IF(C129&lt;=Inputs!$C$12,1,0)</f>
        <v>0</v>
      </c>
    </row>
    <row r="130" customFormat="false" ht="15" hidden="false" customHeight="false" outlineLevel="0" collapsed="false">
      <c r="B130" s="30" t="n">
        <v>45652</v>
      </c>
      <c r="C130" s="25" t="n">
        <v>180.38</v>
      </c>
      <c r="D130" s="25" t="n">
        <v>33.87</v>
      </c>
      <c r="E130" s="25" t="n">
        <v>168.161</v>
      </c>
      <c r="F130" s="23" t="n">
        <f aca="false">IF(E130="","",IF(E130&lt;=Inputs!$C$12,Inputs!$C$14,IF(E130&gt;=Inputs!$C$13,Inputs!$C$15,Inputs!$C$11/E130))*C130)</f>
        <v>39.9566784212749</v>
      </c>
      <c r="G130" s="25"/>
      <c r="H130" s="23" t="str">
        <f aca="false">IF(OR(G130="",D130=""),"",G130-D130)</f>
        <v/>
      </c>
      <c r="I130" s="31" t="str">
        <f aca="false">IF(H130="","",(D130-Inputs!$C$8)/(G130-Inputs!$C$8))</f>
        <v/>
      </c>
      <c r="J130" s="32" t="n">
        <f aca="false">IF(C130&lt;=Inputs!$C$12,1,0)</f>
        <v>0</v>
      </c>
    </row>
    <row r="131" customFormat="false" ht="15" hidden="false" customHeight="false" outlineLevel="0" collapsed="false">
      <c r="B131" s="30" t="n">
        <v>45653</v>
      </c>
      <c r="C131" s="25" t="n">
        <v>180.72</v>
      </c>
      <c r="D131" s="25" t="n">
        <v>33.98</v>
      </c>
      <c r="E131" s="25" t="n">
        <v>168.863</v>
      </c>
      <c r="F131" s="23" t="n">
        <f aca="false">IF(E131="","",IF(E131&lt;=Inputs!$C$12,Inputs!$C$14,IF(E131&gt;=Inputs!$C$13,Inputs!$C$15,Inputs!$C$11/E131))*C131)</f>
        <v>39.865571498789</v>
      </c>
      <c r="G131" s="25" t="n">
        <v>36.784</v>
      </c>
      <c r="H131" s="23" t="n">
        <f aca="false">IF(OR(G131="",D131=""),"",G131-D131)</f>
        <v>2.804</v>
      </c>
      <c r="I131" s="31" t="n">
        <f aca="false">IF(H131="","",(D131-Inputs!$C$8)/(G131-Inputs!$C$8))</f>
        <v>0.657380254154447</v>
      </c>
      <c r="J131" s="32" t="n">
        <f aca="false">IF(C131&lt;=Inputs!$C$12,1,0)</f>
        <v>0</v>
      </c>
    </row>
    <row r="132" customFormat="false" ht="15" hidden="false" customHeight="false" outlineLevel="0" collapsed="false">
      <c r="B132" s="30" t="n">
        <v>45656</v>
      </c>
      <c r="C132" s="25" t="n">
        <v>176.55</v>
      </c>
      <c r="D132" s="25" t="n">
        <v>33.87</v>
      </c>
      <c r="E132" s="25" t="n">
        <v>169.842</v>
      </c>
      <c r="F132" s="23" t="n">
        <f aca="false">IF(E132="","",IF(E132&lt;=Inputs!$C$12,Inputs!$C$14,IF(E132&gt;=Inputs!$C$13,Inputs!$C$15,Inputs!$C$11/E132))*C132)</f>
        <v>38.7212085349913</v>
      </c>
      <c r="G132" s="25" t="n">
        <v>36.247</v>
      </c>
      <c r="H132" s="23" t="n">
        <f aca="false">IF(OR(G132="",D132=""),"",G132-D132)</f>
        <v>2.377</v>
      </c>
      <c r="I132" s="31" t="n">
        <f aca="false">IF(H132="","",(D132-Inputs!$C$8)/(G132-Inputs!$C$8))</f>
        <v>0.689159147378056</v>
      </c>
      <c r="J132" s="32" t="n">
        <f aca="false">IF(C132&lt;=Inputs!$C$12,1,0)</f>
        <v>0</v>
      </c>
    </row>
    <row r="133" customFormat="false" ht="15" hidden="false" customHeight="false" outlineLevel="0" collapsed="false">
      <c r="B133" s="30" t="n">
        <v>45657</v>
      </c>
      <c r="C133" s="25" t="n">
        <v>177</v>
      </c>
      <c r="D133" s="25" t="n">
        <v>34.08</v>
      </c>
      <c r="E133" s="25" t="n">
        <v>170.749</v>
      </c>
      <c r="F133" s="23" t="n">
        <f aca="false">IF(E133="","",IF(E133&lt;=Inputs!$C$12,Inputs!$C$14,IF(E133&gt;=Inputs!$C$13,Inputs!$C$15,Inputs!$C$11/E133))*C133)</f>
        <v>38.6136961270637</v>
      </c>
      <c r="G133" s="25" t="n">
        <v>36.303</v>
      </c>
      <c r="H133" s="23" t="n">
        <f aca="false">IF(OR(G133="",D133=""),"",G133-D133)</f>
        <v>2.223</v>
      </c>
      <c r="I133" s="31" t="n">
        <f aca="false">IF(H133="","",(D133-Inputs!$C$8)/(G133-Inputs!$C$8))</f>
        <v>0.711411138517461</v>
      </c>
      <c r="J133" s="32" t="n">
        <f aca="false">IF(C133&lt;=Inputs!$C$12,1,0)</f>
        <v>0</v>
      </c>
    </row>
    <row r="134" customFormat="false" ht="15" hidden="false" customHeight="false" outlineLevel="0" collapsed="false">
      <c r="B134" s="30" t="n">
        <v>45659</v>
      </c>
      <c r="C134" s="25" t="n">
        <v>171.87</v>
      </c>
      <c r="D134" s="25" t="n">
        <v>33.54</v>
      </c>
      <c r="E134" s="25" t="n">
        <v>171.831</v>
      </c>
      <c r="F134" s="23" t="n">
        <f aca="false">IF(E134="","",IF(E134&lt;=Inputs!$C$12,Inputs!$C$14,IF(E134&gt;=Inputs!$C$13,Inputs!$C$15,Inputs!$C$11/E134))*C134)</f>
        <v>37.2584545279955</v>
      </c>
      <c r="G134" s="25" t="n">
        <v>35.687</v>
      </c>
      <c r="H134" s="23" t="n">
        <f aca="false">IF(OR(G134="",D134=""),"",G134-D134)</f>
        <v>2.147</v>
      </c>
      <c r="I134" s="31" t="n">
        <f aca="false">IF(H134="","",(D134-Inputs!$C$8)/(G134-Inputs!$C$8))</f>
        <v>0.697050938337802</v>
      </c>
      <c r="J134" s="32" t="n">
        <f aca="false">IF(C134&lt;=Inputs!$C$12,1,0)</f>
        <v>0</v>
      </c>
    </row>
    <row r="135" customFormat="false" ht="15" hidden="false" customHeight="false" outlineLevel="0" collapsed="false">
      <c r="B135" s="30" t="n">
        <v>45660</v>
      </c>
      <c r="C135" s="25" t="n">
        <v>169.9</v>
      </c>
      <c r="D135" s="25" t="n">
        <v>33.07</v>
      </c>
      <c r="E135" s="25" t="n">
        <v>173.127</v>
      </c>
      <c r="F135" s="23" t="n">
        <f aca="false">IF(E135="","",IF(E135&lt;=Inputs!$C$12,Inputs!$C$14,IF(E135&gt;=Inputs!$C$13,Inputs!$C$15,Inputs!$C$11/E135))*C135)</f>
        <v>36.5556787791621</v>
      </c>
      <c r="G135" s="25" t="n">
        <v>35.427</v>
      </c>
      <c r="H135" s="23" t="n">
        <f aca="false">IF(OR(G135="",D135=""),"",G135-D135)</f>
        <v>2.357</v>
      </c>
      <c r="I135" s="31" t="n">
        <f aca="false">IF(H135="","",(D135-Inputs!$C$8)/(G135-Inputs!$C$8))</f>
        <v>0.654753185879596</v>
      </c>
      <c r="J135" s="32" t="n">
        <f aca="false">IF(C135&lt;=Inputs!$C$12,1,0)</f>
        <v>0</v>
      </c>
    </row>
    <row r="136" customFormat="false" ht="15" hidden="false" customHeight="false" outlineLevel="0" collapsed="false">
      <c r="B136" s="30" t="n">
        <v>45663</v>
      </c>
      <c r="C136" s="25" t="n">
        <v>170.78</v>
      </c>
      <c r="D136" s="25" t="n">
        <v>33.3</v>
      </c>
      <c r="E136" s="25" t="n">
        <v>174.263</v>
      </c>
      <c r="F136" s="23" t="n">
        <f aca="false">IF(E136="","",IF(E136&lt;=Inputs!$C$12,Inputs!$C$14,IF(E136&gt;=Inputs!$C$13,Inputs!$C$15,Inputs!$C$11/E136))*C136)</f>
        <v>36.5054830916488</v>
      </c>
      <c r="G136" s="25" t="n">
        <v>35.559</v>
      </c>
      <c r="H136" s="23" t="n">
        <f aca="false">IF(OR(G136="",D136=""),"",G136-D136)</f>
        <v>2.259</v>
      </c>
      <c r="I136" s="31" t="n">
        <f aca="false">IF(H136="","",(D136-Inputs!$C$8)/(G136-Inputs!$C$8))</f>
        <v>0.675384394309527</v>
      </c>
      <c r="J136" s="32" t="n">
        <f aca="false">IF(C136&lt;=Inputs!$C$12,1,0)</f>
        <v>0</v>
      </c>
    </row>
    <row r="137" customFormat="false" ht="15" hidden="false" customHeight="false" outlineLevel="0" collapsed="false">
      <c r="B137" s="30" t="n">
        <v>45664</v>
      </c>
      <c r="C137" s="25" t="n">
        <v>172.51</v>
      </c>
      <c r="D137" s="25" t="n">
        <v>33.62</v>
      </c>
      <c r="E137" s="25" t="n">
        <v>174.662</v>
      </c>
      <c r="F137" s="23" t="n">
        <f aca="false">IF(E137="","",IF(E137&lt;=Inputs!$C$12,Inputs!$C$14,IF(E137&gt;=Inputs!$C$13,Inputs!$C$15,Inputs!$C$11/E137))*C137)</f>
        <v>36.7910449897516</v>
      </c>
      <c r="G137" s="25" t="n">
        <v>35.757</v>
      </c>
      <c r="H137" s="23" t="n">
        <f aca="false">IF(OR(G137="",D137=""),"",G137-D137)</f>
        <v>2.137</v>
      </c>
      <c r="I137" s="31" t="n">
        <f aca="false">IF(H137="","",(D137-Inputs!$C$8)/(G137-Inputs!$C$8))</f>
        <v>0.701411205812491</v>
      </c>
      <c r="J137" s="32" t="n">
        <f aca="false">IF(C137&lt;=Inputs!$C$12,1,0)</f>
        <v>0</v>
      </c>
    </row>
    <row r="138" customFormat="false" ht="15" hidden="false" customHeight="false" outlineLevel="0" collapsed="false">
      <c r="B138" s="30" t="n">
        <v>45665</v>
      </c>
      <c r="C138" s="25" t="n">
        <v>171.76</v>
      </c>
      <c r="D138" s="25" t="n">
        <v>33.91</v>
      </c>
      <c r="E138" s="25" t="n">
        <v>174.946</v>
      </c>
      <c r="F138" s="23" t="n">
        <f aca="false">IF(E138="","",IF(E138&lt;=Inputs!$C$12,Inputs!$C$14,IF(E138&gt;=Inputs!$C$13,Inputs!$C$15,Inputs!$C$11/E138))*C138)</f>
        <v>36.5716278165834</v>
      </c>
      <c r="G138" s="25" t="n">
        <v>35.728</v>
      </c>
      <c r="H138" s="23" t="n">
        <f aca="false">IF(OR(G138="",D138=""),"",G138-D138)</f>
        <v>1.81800000000001</v>
      </c>
      <c r="I138" s="31" t="n">
        <f aca="false">IF(H138="","",(D138-Inputs!$C$8)/(G138-Inputs!$C$8))</f>
        <v>0.744949494949494</v>
      </c>
      <c r="J138" s="32" t="n">
        <f aca="false">IF(C138&lt;=Inputs!$C$12,1,0)</f>
        <v>0</v>
      </c>
    </row>
    <row r="139" customFormat="false" ht="15" hidden="false" customHeight="false" outlineLevel="0" collapsed="false">
      <c r="B139" s="30" t="n">
        <v>45667</v>
      </c>
      <c r="C139" s="25" t="n">
        <v>172</v>
      </c>
      <c r="D139" s="25" t="n">
        <v>34.21</v>
      </c>
      <c r="E139" s="25" t="n">
        <v>175.207</v>
      </c>
      <c r="F139" s="23" t="n">
        <f aca="false">IF(E139="","",IF(E139&lt;=Inputs!$C$12,Inputs!$C$14,IF(E139&gt;=Inputs!$C$13,Inputs!$C$15,Inputs!$C$11/E139))*C139)</f>
        <v>36.5681736460301</v>
      </c>
      <c r="G139" s="25" t="n">
        <v>35.654</v>
      </c>
      <c r="H139" s="23" t="n">
        <f aca="false">IF(OR(G139="",D139=""),"",G139-D139)</f>
        <v>1.444</v>
      </c>
      <c r="I139" s="31" t="n">
        <f aca="false">IF(H139="","",(D139-Inputs!$C$8)/(G139-Inputs!$C$8))</f>
        <v>0.795293450524525</v>
      </c>
      <c r="J139" s="32" t="n">
        <f aca="false">IF(C139&lt;=Inputs!$C$12,1,0)</f>
        <v>0</v>
      </c>
    </row>
    <row r="140" customFormat="false" ht="15" hidden="false" customHeight="false" outlineLevel="0" collapsed="false">
      <c r="B140" s="30" t="n">
        <v>45670</v>
      </c>
      <c r="C140" s="25" t="n">
        <v>170.57</v>
      </c>
      <c r="D140" s="25" t="n">
        <v>34.13</v>
      </c>
      <c r="E140" s="25" t="n">
        <v>175.392</v>
      </c>
      <c r="F140" s="23" t="n">
        <f aca="false">IF(E140="","",IF(E140&lt;=Inputs!$C$12,Inputs!$C$14,IF(E140&gt;=Inputs!$C$13,Inputs!$C$15,Inputs!$C$11/E140))*C140)</f>
        <v>36.2258968482029</v>
      </c>
      <c r="G140" s="25" t="n">
        <v>35.527</v>
      </c>
      <c r="H140" s="23" t="n">
        <f aca="false">IF(OR(G140="",D140=""),"",G140-D140)</f>
        <v>1.397</v>
      </c>
      <c r="I140" s="31" t="n">
        <f aca="false">IF(H140="","",(D140-Inputs!$C$8)/(G140-Inputs!$C$8))</f>
        <v>0.798325393388191</v>
      </c>
      <c r="J140" s="32" t="n">
        <f aca="false">IF(C140&lt;=Inputs!$C$12,1,0)</f>
        <v>0</v>
      </c>
    </row>
    <row r="141" customFormat="false" ht="15" hidden="false" customHeight="false" outlineLevel="0" collapsed="false">
      <c r="B141" s="30" t="n">
        <v>45671</v>
      </c>
      <c r="C141" s="25" t="n">
        <v>167.02</v>
      </c>
      <c r="D141" s="25" t="n">
        <v>33.85</v>
      </c>
      <c r="E141" s="25" t="n">
        <v>175.345</v>
      </c>
      <c r="F141" s="23" t="n">
        <f aca="false">IF(E141="","",IF(E141&lt;=Inputs!$C$12,Inputs!$C$14,IF(E141&gt;=Inputs!$C$13,Inputs!$C$15,Inputs!$C$11/E141))*C141)</f>
        <v>35.4814508540306</v>
      </c>
      <c r="G141" s="25" t="n">
        <v>35.069</v>
      </c>
      <c r="H141" s="23" t="n">
        <f aca="false">IF(OR(G141="",D141=""),"",G141-D141)</f>
        <v>1.219</v>
      </c>
      <c r="I141" s="31" t="n">
        <f aca="false">IF(H141="","",(D141-Inputs!$C$8)/(G141-Inputs!$C$8))</f>
        <v>0.811562838151183</v>
      </c>
      <c r="J141" s="32" t="n">
        <f aca="false">IF(C141&lt;=Inputs!$C$12,1,0)</f>
        <v>0</v>
      </c>
    </row>
    <row r="142" customFormat="false" ht="15" hidden="false" customHeight="false" outlineLevel="0" collapsed="false">
      <c r="B142" s="30" t="n">
        <v>45672</v>
      </c>
      <c r="C142" s="25" t="n">
        <v>166.2</v>
      </c>
      <c r="D142" s="25" t="n">
        <v>33.78</v>
      </c>
      <c r="E142" s="25" t="n">
        <v>175.296</v>
      </c>
      <c r="F142" s="23" t="n">
        <f aca="false">IF(E142="","",IF(E142&lt;=Inputs!$C$12,Inputs!$C$14,IF(E142&gt;=Inputs!$C$13,Inputs!$C$15,Inputs!$C$11/E142))*C142)</f>
        <v>35.3171207557503</v>
      </c>
      <c r="G142" s="25" t="n">
        <v>35.01</v>
      </c>
      <c r="H142" s="23" t="n">
        <f aca="false">IF(OR(G142="",D142=""),"",G142-D142)</f>
        <v>1.23</v>
      </c>
      <c r="I142" s="31" t="n">
        <f aca="false">IF(H142="","",(D142-Inputs!$C$8)/(G142-Inputs!$C$8))</f>
        <v>0.80811232449298</v>
      </c>
      <c r="J142" s="32" t="n">
        <f aca="false">IF(C142&lt;=Inputs!$C$12,1,0)</f>
        <v>0</v>
      </c>
    </row>
    <row r="143" customFormat="false" ht="15" hidden="false" customHeight="false" outlineLevel="0" collapsed="false">
      <c r="B143" s="30" t="n">
        <v>45673</v>
      </c>
      <c r="C143" s="25" t="n">
        <v>168.93</v>
      </c>
      <c r="D143" s="25" t="n">
        <v>33.77</v>
      </c>
      <c r="E143" s="25" t="n">
        <v>174.718</v>
      </c>
      <c r="F143" s="23" t="n">
        <f aca="false">IF(E143="","",IF(E143&lt;=Inputs!$C$12,Inputs!$C$14,IF(E143&gt;=Inputs!$C$13,Inputs!$C$15,Inputs!$C$11/E143))*C143)</f>
        <v>36.0159943451734</v>
      </c>
      <c r="G143" s="25" t="n">
        <v>35.36</v>
      </c>
      <c r="H143" s="23" t="n">
        <f aca="false">IF(OR(G143="",D143=""),"",G143-D143)</f>
        <v>1.59</v>
      </c>
      <c r="I143" s="31" t="n">
        <f aca="false">IF(H143="","",(D143-Inputs!$C$8)/(G143-Inputs!$C$8))</f>
        <v>0.764792899408285</v>
      </c>
      <c r="J143" s="32" t="n">
        <f aca="false">IF(C143&lt;=Inputs!$C$12,1,0)</f>
        <v>0</v>
      </c>
    </row>
    <row r="144" customFormat="false" ht="15" hidden="false" customHeight="false" outlineLevel="0" collapsed="false">
      <c r="B144" s="30" t="n">
        <v>45674</v>
      </c>
      <c r="C144" s="25" t="n">
        <v>171.09</v>
      </c>
      <c r="D144" s="25" t="n">
        <v>33.92</v>
      </c>
      <c r="E144" s="25" t="n">
        <v>173.772</v>
      </c>
      <c r="F144" s="23" t="n">
        <f aca="false">IF(E144="","",IF(E144&lt;=Inputs!$C$12,Inputs!$C$14,IF(E144&gt;=Inputs!$C$13,Inputs!$C$15,Inputs!$C$11/E144))*C144)</f>
        <v>36.6750828672053</v>
      </c>
      <c r="G144" s="25" t="n">
        <v>35.64</v>
      </c>
      <c r="H144" s="23" t="n">
        <f aca="false">IF(OR(G144="",D144=""),"",G144-D144)</f>
        <v>1.72</v>
      </c>
      <c r="I144" s="31" t="n">
        <f aca="false">IF(H144="","",(D144-Inputs!$C$8)/(G144-Inputs!$C$8))</f>
        <v>0.755681818181818</v>
      </c>
      <c r="J144" s="32" t="n">
        <f aca="false">IF(C144&lt;=Inputs!$C$12,1,0)</f>
        <v>0</v>
      </c>
    </row>
    <row r="145" customFormat="false" ht="15" hidden="false" customHeight="false" outlineLevel="0" collapsed="false">
      <c r="B145" s="30" t="n">
        <v>45678</v>
      </c>
      <c r="C145" s="25" t="n">
        <v>175.56</v>
      </c>
      <c r="D145" s="25" t="n">
        <v>34.2</v>
      </c>
      <c r="E145" s="25" t="n">
        <v>173.316</v>
      </c>
      <c r="F145" s="23" t="n">
        <f aca="false">IF(E145="","",IF(E145&lt;=Inputs!$C$12,Inputs!$C$14,IF(E145&gt;=Inputs!$C$13,Inputs!$C$15,Inputs!$C$11/E145))*C145)</f>
        <v>37.7322924600152</v>
      </c>
      <c r="G145" s="25" t="n">
        <v>36.223</v>
      </c>
      <c r="H145" s="23" t="n">
        <f aca="false">IF(OR(G145="",D145=""),"",G145-D145)</f>
        <v>2.023</v>
      </c>
      <c r="I145" s="31" t="n">
        <f aca="false">IF(H145="","",(D145-Inputs!$C$8)/(G145-Inputs!$C$8))</f>
        <v>0.734618916437099</v>
      </c>
      <c r="J145" s="32" t="n">
        <f aca="false">IF(C145&lt;=Inputs!$C$12,1,0)</f>
        <v>0</v>
      </c>
    </row>
    <row r="146" customFormat="false" ht="15" hidden="false" customHeight="false" outlineLevel="0" collapsed="false">
      <c r="B146" s="30" t="n">
        <v>45679</v>
      </c>
      <c r="C146" s="25" t="n">
        <v>174.8</v>
      </c>
      <c r="D146" s="25" t="n">
        <v>33.95</v>
      </c>
      <c r="E146" s="25" t="n">
        <v>172.923</v>
      </c>
      <c r="F146" s="23" t="n">
        <f aca="false">IF(E146="","",IF(E146&lt;=Inputs!$C$12,Inputs!$C$14,IF(E146&gt;=Inputs!$C$13,Inputs!$C$15,Inputs!$C$11/E146))*C146)</f>
        <v>37.6543316967668</v>
      </c>
      <c r="G146" s="25" t="n">
        <v>36.114</v>
      </c>
      <c r="H146" s="23" t="n">
        <f aca="false">IF(OR(G146="",D146=""),"",G146-D146)</f>
        <v>2.16399999999999</v>
      </c>
      <c r="I146" s="31" t="n">
        <f aca="false">IF(H146="","",(D146-Inputs!$C$8)/(G146-Inputs!$C$8))</f>
        <v>0.712004258717062</v>
      </c>
      <c r="J146" s="32" t="n">
        <f aca="false">IF(C146&lt;=Inputs!$C$12,1,0)</f>
        <v>0</v>
      </c>
    </row>
    <row r="147" customFormat="false" ht="15" hidden="false" customHeight="false" outlineLevel="0" collapsed="false">
      <c r="B147" s="30" t="n">
        <v>45680</v>
      </c>
      <c r="C147" s="25" t="n">
        <v>178.5</v>
      </c>
      <c r="D147" s="25" t="n">
        <v>34.25</v>
      </c>
      <c r="E147" s="25" t="n">
        <v>172.706</v>
      </c>
      <c r="F147" s="23" t="n">
        <f aca="false">IF(E147="","",IF(E147&lt;=Inputs!$C$12,Inputs!$C$14,IF(E147&gt;=Inputs!$C$13,Inputs!$C$15,Inputs!$C$11/E147))*C147)</f>
        <v>38.4996757495397</v>
      </c>
      <c r="G147" s="25" t="n">
        <v>36.558</v>
      </c>
      <c r="H147" s="23" t="n">
        <f aca="false">IF(OR(G147="",D147=""),"",G147-D147)</f>
        <v>2.308</v>
      </c>
      <c r="I147" s="31" t="n">
        <f aca="false">IF(H147="","",(D147-Inputs!$C$8)/(G147-Inputs!$C$8))</f>
        <v>0.709977381251571</v>
      </c>
      <c r="J147" s="32" t="n">
        <f aca="false">IF(C147&lt;=Inputs!$C$12,1,0)</f>
        <v>0</v>
      </c>
    </row>
    <row r="148" customFormat="false" ht="15" hidden="false" customHeight="false" outlineLevel="0" collapsed="false">
      <c r="B148" s="30" t="n">
        <v>45681</v>
      </c>
      <c r="C148" s="25" t="n">
        <v>176.06</v>
      </c>
      <c r="D148" s="25" t="n">
        <v>34.17</v>
      </c>
      <c r="E148" s="25" t="n">
        <v>172.379</v>
      </c>
      <c r="F148" s="23" t="n">
        <f aca="false">IF(E148="","",IF(E148&lt;=Inputs!$C$12,Inputs!$C$14,IF(E148&gt;=Inputs!$C$13,Inputs!$C$15,Inputs!$C$11/E148))*C148)</f>
        <v>38.045440569907</v>
      </c>
      <c r="G148" s="25" t="n">
        <v>36.255</v>
      </c>
      <c r="H148" s="23" t="n">
        <f aca="false">IF(OR(G148="",D148=""),"",G148-D148)</f>
        <v>2.085</v>
      </c>
      <c r="I148" s="31" t="n">
        <f aca="false">IF(H148="","",(D148-Inputs!$C$8)/(G148-Inputs!$C$8))</f>
        <v>0.727629000653168</v>
      </c>
      <c r="J148" s="32" t="n">
        <f aca="false">IF(C148&lt;=Inputs!$C$12,1,0)</f>
        <v>0</v>
      </c>
    </row>
    <row r="149" customFormat="false" ht="15" hidden="false" customHeight="false" outlineLevel="0" collapsed="false">
      <c r="B149" s="30" t="n">
        <v>45684</v>
      </c>
      <c r="C149" s="25" t="n">
        <v>175.16</v>
      </c>
      <c r="D149" s="25" t="n">
        <v>33.89</v>
      </c>
      <c r="E149" s="25" t="n">
        <v>172.25</v>
      </c>
      <c r="F149" s="23" t="n">
        <f aca="false">IF(E149="","",IF(E149&lt;=Inputs!$C$12,Inputs!$C$14,IF(E149&gt;=Inputs!$C$13,Inputs!$C$15,Inputs!$C$11/E149))*C149)</f>
        <v>37.8793033381713</v>
      </c>
      <c r="G149" s="25" t="n">
        <v>36.053</v>
      </c>
      <c r="H149" s="23" t="n">
        <f aca="false">IF(OR(G149="",D149=""),"",G149-D149)</f>
        <v>2.163</v>
      </c>
      <c r="I149" s="31" t="n">
        <f aca="false">IF(H149="","",(D149-Inputs!$C$8)/(G149-Inputs!$C$8))</f>
        <v>0.709781296122367</v>
      </c>
      <c r="J149" s="32" t="n">
        <f aca="false">IF(C149&lt;=Inputs!$C$12,1,0)</f>
        <v>0</v>
      </c>
    </row>
    <row r="150" customFormat="false" ht="15" hidden="false" customHeight="false" outlineLevel="0" collapsed="false">
      <c r="B150" s="30" t="n">
        <v>45685</v>
      </c>
      <c r="C150" s="25" t="n">
        <v>177.78</v>
      </c>
      <c r="D150" s="25" t="n">
        <v>34.53</v>
      </c>
      <c r="E150" s="25" t="n">
        <v>172.193</v>
      </c>
      <c r="F150" s="23" t="n">
        <f aca="false">IF(E150="","",IF(E150&lt;=Inputs!$C$12,Inputs!$C$14,IF(E150&gt;=Inputs!$C$13,Inputs!$C$15,Inputs!$C$11/E150))*C150)</f>
        <v>38.4586191076292</v>
      </c>
      <c r="G150" s="25" t="n">
        <v>36.532</v>
      </c>
      <c r="H150" s="23" t="n">
        <f aca="false">IF(OR(G150="",D150=""),"",G150-D150)</f>
        <v>2.002</v>
      </c>
      <c r="I150" s="31" t="n">
        <f aca="false">IF(H150="","",(D150-Inputs!$C$8)/(G150-Inputs!$C$8))</f>
        <v>0.7476046394352</v>
      </c>
      <c r="J150" s="32" t="n">
        <f aca="false">IF(C150&lt;=Inputs!$C$12,1,0)</f>
        <v>0</v>
      </c>
    </row>
    <row r="151" customFormat="false" ht="15" hidden="false" customHeight="false" outlineLevel="0" collapsed="false">
      <c r="B151" s="30" t="n">
        <v>45686</v>
      </c>
      <c r="C151" s="25" t="n">
        <v>173.66</v>
      </c>
      <c r="D151" s="25" t="n">
        <v>34.06</v>
      </c>
      <c r="E151" s="25" t="n">
        <v>172.266</v>
      </c>
      <c r="F151" s="23" t="n">
        <f aca="false">IF(E151="","",IF(E151&lt;=Inputs!$C$12,Inputs!$C$14,IF(E151&gt;=Inputs!$C$13,Inputs!$C$15,Inputs!$C$11/E151))*C151)</f>
        <v>37.5514320875855</v>
      </c>
      <c r="G151" s="25" t="n">
        <v>36.017</v>
      </c>
      <c r="H151" s="23" t="n">
        <f aca="false">IF(OR(G151="",D151=""),"",G151-D151)</f>
        <v>1.957</v>
      </c>
      <c r="I151" s="31" t="n">
        <f aca="false">IF(H151="","",(D151-Inputs!$C$8)/(G151-Inputs!$C$8))</f>
        <v>0.736146690036403</v>
      </c>
      <c r="J151" s="32" t="n">
        <f aca="false">IF(C151&lt;=Inputs!$C$12,1,0)</f>
        <v>0</v>
      </c>
    </row>
    <row r="152" customFormat="false" ht="15" hidden="false" customHeight="false" outlineLevel="0" collapsed="false">
      <c r="B152" s="30" t="n">
        <v>45687</v>
      </c>
      <c r="C152" s="25" t="n">
        <v>179.53</v>
      </c>
      <c r="D152" s="25" t="n">
        <v>34.88</v>
      </c>
      <c r="E152" s="25" t="n">
        <v>173.807</v>
      </c>
      <c r="F152" s="23" t="n">
        <f aca="false">IF(E152="","",IF(E152&lt;=Inputs!$C$12,Inputs!$C$14,IF(E152&gt;=Inputs!$C$13,Inputs!$C$15,Inputs!$C$11/E152))*C152)</f>
        <v>38.476542947062</v>
      </c>
      <c r="G152" s="25" t="n">
        <v>36.725</v>
      </c>
      <c r="H152" s="23" t="n">
        <f aca="false">IF(OR(G152="",D152=""),"",G152-D152)</f>
        <v>1.845</v>
      </c>
      <c r="I152" s="31" t="n">
        <f aca="false">IF(H152="","",(D152-Inputs!$C$8)/(G152-Inputs!$C$8))</f>
        <v>0.772923076923077</v>
      </c>
      <c r="J152" s="32" t="n">
        <f aca="false">IF(C152&lt;=Inputs!$C$12,1,0)</f>
        <v>0</v>
      </c>
    </row>
    <row r="153" customFormat="false" ht="15" hidden="false" customHeight="false" outlineLevel="0" collapsed="false">
      <c r="B153" s="30" t="n">
        <v>45688</v>
      </c>
      <c r="C153" s="25" t="n">
        <v>176.52</v>
      </c>
      <c r="D153" s="25" t="n">
        <v>34.01</v>
      </c>
      <c r="E153" s="25" t="n">
        <v>174.144</v>
      </c>
      <c r="F153" s="23" t="n">
        <f aca="false">IF(E153="","",IF(E153&lt;=Inputs!$C$12,Inputs!$C$14,IF(E153&gt;=Inputs!$C$13,Inputs!$C$15,Inputs!$C$11/E153))*C153)</f>
        <v>37.7582345644983</v>
      </c>
      <c r="G153" s="25" t="n">
        <v>36.339</v>
      </c>
      <c r="H153" s="23" t="n">
        <f aca="false">IF(OR(G153="",D153=""),"",G153-D153)</f>
        <v>2.329</v>
      </c>
      <c r="I153" s="31" t="n">
        <f aca="false">IF(H153="","",(D153-Inputs!$C$8)/(G153-Inputs!$C$8))</f>
        <v>0.699056725675152</v>
      </c>
      <c r="J153" s="32" t="n">
        <f aca="false">IF(C153&lt;=Inputs!$C$12,1,0)</f>
        <v>0</v>
      </c>
    </row>
    <row r="154" customFormat="false" ht="15" hidden="false" customHeight="false" outlineLevel="0" collapsed="false">
      <c r="B154" s="30" t="n">
        <v>45691</v>
      </c>
      <c r="C154" s="25" t="n">
        <v>175.87</v>
      </c>
      <c r="D154" s="25" t="n">
        <v>33.85</v>
      </c>
      <c r="E154" s="25" t="n">
        <v>174.406</v>
      </c>
      <c r="F154" s="23" t="n">
        <f aca="false">IF(E154="","",IF(E154&lt;=Inputs!$C$12,Inputs!$C$14,IF(E154&gt;=Inputs!$C$13,Inputs!$C$15,Inputs!$C$11/E154))*C154)</f>
        <v>37.5626841966446</v>
      </c>
      <c r="G154" s="25" t="n">
        <v>36.27</v>
      </c>
      <c r="H154" s="23" t="n">
        <f aca="false">IF(OR(G154="",D154=""),"",G154-D154)</f>
        <v>2.42</v>
      </c>
      <c r="I154" s="31" t="n">
        <f aca="false">IF(H154="","",(D154-Inputs!$C$8)/(G154-Inputs!$C$8))</f>
        <v>0.684485006518905</v>
      </c>
      <c r="J154" s="32" t="n">
        <f aca="false">IF(C154&lt;=Inputs!$C$12,1,0)</f>
        <v>0</v>
      </c>
    </row>
    <row r="155" customFormat="false" ht="15" hidden="false" customHeight="false" outlineLevel="0" collapsed="false">
      <c r="B155" s="30" t="n">
        <v>45692</v>
      </c>
      <c r="C155" s="25" t="n">
        <v>176.23</v>
      </c>
      <c r="D155" s="25" t="n">
        <v>34.37</v>
      </c>
      <c r="E155" s="25" t="n">
        <v>174.688</v>
      </c>
      <c r="F155" s="23" t="n">
        <f aca="false">IF(E155="","",IF(E155&lt;=Inputs!$C$12,Inputs!$C$14,IF(E155&gt;=Inputs!$C$13,Inputs!$C$15,Inputs!$C$11/E155))*C155)</f>
        <v>37.5788119389998</v>
      </c>
      <c r="G155" s="25" t="n">
        <v>36.345</v>
      </c>
      <c r="H155" s="23" t="n">
        <f aca="false">IF(OR(G155="",D155=""),"",G155-D155)</f>
        <v>1.975</v>
      </c>
      <c r="I155" s="31" t="n">
        <f aca="false">IF(H155="","",(D155-Inputs!$C$8)/(G155-Inputs!$C$8))</f>
        <v>0.744996772111039</v>
      </c>
      <c r="J155" s="32" t="n">
        <f aca="false">IF(C155&lt;=Inputs!$C$12,1,0)</f>
        <v>0</v>
      </c>
    </row>
    <row r="156" customFormat="false" ht="15" hidden="false" customHeight="false" outlineLevel="0" collapsed="false">
      <c r="B156" s="30" t="n">
        <v>45693</v>
      </c>
      <c r="C156" s="25" t="n">
        <v>181.84</v>
      </c>
      <c r="D156" s="25" t="n">
        <v>35.01</v>
      </c>
      <c r="E156" s="25" t="n">
        <v>174.96</v>
      </c>
      <c r="F156" s="23" t="n">
        <f aca="false">IF(E156="","",IF(E156&lt;=Inputs!$C$12,Inputs!$C$14,IF(E156&gt;=Inputs!$C$13,Inputs!$C$15,Inputs!$C$11/E156))*C156)</f>
        <v>38.7147919524463</v>
      </c>
      <c r="G156" s="25" t="n">
        <v>36.908</v>
      </c>
      <c r="H156" s="23" t="n">
        <f aca="false">IF(OR(G156="",D156=""),"",G156-D156)</f>
        <v>1.898</v>
      </c>
      <c r="I156" s="31" t="n">
        <f aca="false">IF(H156="","",(D156-Inputs!$C$8)/(G156-Inputs!$C$8))</f>
        <v>0.771545498314877</v>
      </c>
      <c r="J156" s="32" t="n">
        <f aca="false">IF(C156&lt;=Inputs!$C$12,1,0)</f>
        <v>0</v>
      </c>
    </row>
    <row r="157" customFormat="false" ht="15" hidden="false" customHeight="false" outlineLevel="0" collapsed="false">
      <c r="B157" s="30" t="n">
        <v>45694</v>
      </c>
      <c r="C157" s="25" t="n">
        <v>184.8</v>
      </c>
      <c r="D157" s="25" t="n">
        <v>34.83</v>
      </c>
      <c r="E157" s="25" t="n">
        <v>175.221</v>
      </c>
      <c r="F157" s="23" t="n">
        <f aca="false">IF(E157="","",IF(E157&lt;=Inputs!$C$12,Inputs!$C$14,IF(E157&gt;=Inputs!$C$13,Inputs!$C$15,Inputs!$C$11/E157))*C157)</f>
        <v>39.2863869056791</v>
      </c>
      <c r="G157" s="25" t="n">
        <v>37.126</v>
      </c>
      <c r="H157" s="23" t="n">
        <f aca="false">IF(OR(G157="",D157=""),"",G157-D157)</f>
        <v>2.296</v>
      </c>
      <c r="I157" s="31" t="n">
        <f aca="false">IF(H157="","",(D157-Inputs!$C$8)/(G157-Inputs!$C$8))</f>
        <v>0.730706075533662</v>
      </c>
      <c r="J157" s="32" t="n">
        <f aca="false">IF(C157&lt;=Inputs!$C$12,1,0)</f>
        <v>0</v>
      </c>
    </row>
    <row r="158" customFormat="false" ht="15" hidden="false" customHeight="false" outlineLevel="0" collapsed="false">
      <c r="B158" s="30" t="n">
        <v>45695</v>
      </c>
      <c r="C158" s="25" t="n">
        <v>181.49</v>
      </c>
      <c r="D158" s="25" t="n">
        <v>34.49</v>
      </c>
      <c r="E158" s="25" t="n">
        <v>175.964</v>
      </c>
      <c r="F158" s="23" t="n">
        <f aca="false">IF(E158="","",IF(E158&lt;=Inputs!$C$12,Inputs!$C$14,IF(E158&gt;=Inputs!$C$13,Inputs!$C$15,Inputs!$C$11/E158))*C158)</f>
        <v>38.4198046191266</v>
      </c>
      <c r="G158" s="25" t="n">
        <v>36.767</v>
      </c>
      <c r="H158" s="23" t="n">
        <f aca="false">IF(OR(G158="",D158=""),"",G158-D158)</f>
        <v>2.277</v>
      </c>
      <c r="I158" s="31" t="n">
        <f aca="false">IF(H158="","",(D158-Inputs!$C$8)/(G158-Inputs!$C$8))</f>
        <v>0.721195053263132</v>
      </c>
      <c r="J158" s="32" t="n">
        <f aca="false">IF(C158&lt;=Inputs!$C$12,1,0)</f>
        <v>0</v>
      </c>
    </row>
    <row r="159" customFormat="false" ht="15" hidden="false" customHeight="false" outlineLevel="0" collapsed="false">
      <c r="B159" s="30" t="n">
        <v>45698</v>
      </c>
      <c r="C159" s="25" t="n">
        <v>180.55</v>
      </c>
      <c r="D159" s="25" t="n">
        <v>34.31</v>
      </c>
      <c r="E159" s="25" t="n">
        <v>176.861</v>
      </c>
      <c r="F159" s="23" t="n">
        <f aca="false">IF(E159="","",IF(E159&lt;=Inputs!$C$12,Inputs!$C$14,IF(E159&gt;=Inputs!$C$13,Inputs!$C$15,Inputs!$C$11/E159))*C159)</f>
        <v>38.0269675055552</v>
      </c>
      <c r="G159" s="25" t="n">
        <v>36.786</v>
      </c>
      <c r="H159" s="23" t="n">
        <f aca="false">IF(OR(G159="",D159=""),"",G159-D159)</f>
        <v>2.476</v>
      </c>
      <c r="I159" s="31" t="n">
        <f aca="false">IF(H159="","",(D159-Inputs!$C$8)/(G159-Inputs!$C$8))</f>
        <v>0.697532372343025</v>
      </c>
      <c r="J159" s="32" t="n">
        <f aca="false">IF(C159&lt;=Inputs!$C$12,1,0)</f>
        <v>0</v>
      </c>
    </row>
    <row r="160" customFormat="false" ht="15" hidden="false" customHeight="false" outlineLevel="0" collapsed="false">
      <c r="B160" s="30" t="n">
        <v>45699</v>
      </c>
      <c r="C160" s="25" t="n">
        <v>180.44</v>
      </c>
      <c r="D160" s="25" t="n">
        <v>34.36</v>
      </c>
      <c r="E160" s="25" t="n">
        <v>177.465</v>
      </c>
      <c r="F160" s="23" t="n">
        <f aca="false">IF(E160="","",IF(E160&lt;=Inputs!$C$12,Inputs!$C$14,IF(E160&gt;=Inputs!$C$13,Inputs!$C$15,Inputs!$C$11/E160))*C160)</f>
        <v>37.8744541177134</v>
      </c>
      <c r="G160" s="25" t="n">
        <v>36.849</v>
      </c>
      <c r="H160" s="23" t="n">
        <f aca="false">IF(OR(G160="",D160=""),"",G160-D160)</f>
        <v>2.489</v>
      </c>
      <c r="I160" s="31" t="n">
        <f aca="false">IF(H160="","",(D160-Inputs!$C$8)/(G160-Inputs!$C$8))</f>
        <v>0.698266456540187</v>
      </c>
      <c r="J160" s="32" t="n">
        <f aca="false">IF(C160&lt;=Inputs!$C$12,1,0)</f>
        <v>0</v>
      </c>
    </row>
    <row r="161" customFormat="false" ht="15" hidden="false" customHeight="false" outlineLevel="0" collapsed="false">
      <c r="B161" s="30" t="n">
        <v>45700</v>
      </c>
      <c r="C161" s="25" t="n">
        <v>186.25</v>
      </c>
      <c r="D161" s="25" t="n">
        <v>34.5</v>
      </c>
      <c r="E161" s="25" t="n">
        <v>178.129</v>
      </c>
      <c r="F161" s="23" t="n">
        <f aca="false">IF(E161="","",IF(E161&lt;=Inputs!$C$12,Inputs!$C$14,IF(E161&gt;=Inputs!$C$13,Inputs!$C$15,Inputs!$C$11/E161))*C161)</f>
        <v>38.94824817969</v>
      </c>
      <c r="G161" s="25" t="n">
        <v>37.375</v>
      </c>
      <c r="H161" s="23" t="n">
        <f aca="false">IF(OR(G161="",D161=""),"",G161-D161)</f>
        <v>2.875</v>
      </c>
      <c r="I161" s="31" t="n">
        <f aca="false">IF(H161="","",(D161-Inputs!$C$8)/(G161-Inputs!$C$8))</f>
        <v>0.672364672364672</v>
      </c>
      <c r="J161" s="32" t="n">
        <f aca="false">IF(C161&lt;=Inputs!$C$12,1,0)</f>
        <v>0</v>
      </c>
    </row>
    <row r="162" customFormat="false" ht="15" hidden="false" customHeight="false" outlineLevel="0" collapsed="false">
      <c r="B162" s="30" t="n">
        <v>45701</v>
      </c>
      <c r="C162" s="25" t="n">
        <v>185.44</v>
      </c>
      <c r="D162" s="25" t="n">
        <v>34.53</v>
      </c>
      <c r="E162" s="25" t="n">
        <v>178.443</v>
      </c>
      <c r="F162" s="23" t="n">
        <f aca="false">IF(E162="","",IF(E162&lt;=Inputs!$C$12,Inputs!$C$14,IF(E162&gt;=Inputs!$C$13,Inputs!$C$15,Inputs!$C$11/E162))*C162)</f>
        <v>38.7106246812708</v>
      </c>
      <c r="G162" s="25" t="n">
        <v>37.293</v>
      </c>
      <c r="H162" s="23" t="n">
        <f aca="false">IF(OR(G162="",D162=""),"",G162-D162)</f>
        <v>2.763</v>
      </c>
      <c r="I162" s="31" t="n">
        <f aca="false">IF(H162="","",(D162-Inputs!$C$8)/(G162-Inputs!$C$8))</f>
        <v>0.682158058207754</v>
      </c>
      <c r="J162" s="32" t="n">
        <f aca="false">IF(C162&lt;=Inputs!$C$12,1,0)</f>
        <v>0</v>
      </c>
    </row>
    <row r="163" customFormat="false" ht="15" hidden="false" customHeight="false" outlineLevel="0" collapsed="false">
      <c r="B163" s="30" t="n">
        <v>45702</v>
      </c>
      <c r="C163" s="25" t="n">
        <v>184.42</v>
      </c>
      <c r="D163" s="25" t="n">
        <v>34.51</v>
      </c>
      <c r="E163" s="25" t="n">
        <v>178.927</v>
      </c>
      <c r="F163" s="23" t="n">
        <f aca="false">IF(E163="","",IF(E163&lt;=Inputs!$C$12,Inputs!$C$14,IF(E163&gt;=Inputs!$C$13,Inputs!$C$15,Inputs!$C$11/E163))*C163)</f>
        <v>38.3935627378763</v>
      </c>
      <c r="G163" s="25" t="n">
        <v>37.14</v>
      </c>
      <c r="H163" s="23" t="n">
        <f aca="false">IF(OR(G163="",D163=""),"",G163-D163)</f>
        <v>2.63</v>
      </c>
      <c r="I163" s="31" t="n">
        <f aca="false">IF(H163="","",(D163-Inputs!$C$8)/(G163-Inputs!$C$8))</f>
        <v>0.692037470725995</v>
      </c>
      <c r="J163" s="32" t="n">
        <f aca="false">IF(C163&lt;=Inputs!$C$12,1,0)</f>
        <v>0</v>
      </c>
    </row>
    <row r="164" customFormat="false" ht="15" hidden="false" customHeight="false" outlineLevel="0" collapsed="false">
      <c r="B164" s="30" t="n">
        <v>45706</v>
      </c>
      <c r="C164" s="25" t="n">
        <v>184.97</v>
      </c>
      <c r="D164" s="25" t="n">
        <v>34.65</v>
      </c>
      <c r="E164" s="25" t="n">
        <v>179.463</v>
      </c>
      <c r="F164" s="23" t="n">
        <f aca="false">IF(E164="","",IF(E164&lt;=Inputs!$C$12,Inputs!$C$14,IF(E164&gt;=Inputs!$C$13,Inputs!$C$15,Inputs!$C$11/E164))*C164)</f>
        <v>38.393053164162</v>
      </c>
      <c r="G164" s="25" t="n">
        <v>37.237</v>
      </c>
      <c r="H164" s="23" t="n">
        <f aca="false">IF(OR(G164="",D164=""),"",G164-D164)</f>
        <v>2.587</v>
      </c>
      <c r="I164" s="31" t="n">
        <f aca="false">IF(H164="","",(D164-Inputs!$C$8)/(G164-Inputs!$C$8))</f>
        <v>0.700474701864073</v>
      </c>
      <c r="J164" s="32" t="n">
        <f aca="false">IF(C164&lt;=Inputs!$C$12,1,0)</f>
        <v>0</v>
      </c>
    </row>
    <row r="165" customFormat="false" ht="15" hidden="false" customHeight="false" outlineLevel="0" collapsed="false">
      <c r="B165" s="30" t="n">
        <v>45707</v>
      </c>
      <c r="C165" s="25" t="n">
        <v>186.15</v>
      </c>
      <c r="D165" s="25" t="n">
        <v>34.25</v>
      </c>
      <c r="E165" s="25" t="n">
        <v>179.906</v>
      </c>
      <c r="F165" s="23" t="n">
        <f aca="false">IF(E165="","",IF(E165&lt;=Inputs!$C$12,Inputs!$C$14,IF(E165&gt;=Inputs!$C$13,Inputs!$C$15,Inputs!$C$11/E165))*C165)</f>
        <v>38.5428362589352</v>
      </c>
      <c r="G165" s="25" t="n">
        <v>37.382</v>
      </c>
      <c r="H165" s="23" t="n">
        <f aca="false">IF(OR(G165="",D165=""),"",G165-D165)</f>
        <v>3.132</v>
      </c>
      <c r="I165" s="31" t="n">
        <f aca="false">IF(H165="","",(D165-Inputs!$C$8)/(G165-Inputs!$C$8))</f>
        <v>0.64336142108859</v>
      </c>
      <c r="J165" s="32" t="n">
        <f aca="false">IF(C165&lt;=Inputs!$C$12,1,0)</f>
        <v>0</v>
      </c>
    </row>
    <row r="166" customFormat="false" ht="15" hidden="false" customHeight="false" outlineLevel="0" collapsed="false">
      <c r="B166" s="30" t="n">
        <v>45708</v>
      </c>
      <c r="C166" s="25" t="n">
        <v>180.88</v>
      </c>
      <c r="D166" s="25" t="n">
        <v>34.45</v>
      </c>
      <c r="E166" s="25" t="n">
        <v>180.521</v>
      </c>
      <c r="F166" s="23" t="n">
        <f aca="false">IF(E166="","",IF(E166&lt;=Inputs!$C$12,Inputs!$C$14,IF(E166&gt;=Inputs!$C$13,Inputs!$C$15,Inputs!$C$11/E166))*C166)</f>
        <v>37.3240786390503</v>
      </c>
      <c r="G166" s="25" t="n">
        <v>36.842</v>
      </c>
      <c r="H166" s="23" t="n">
        <f aca="false">IF(OR(G166="",D166=""),"",G166-D166)</f>
        <v>2.392</v>
      </c>
      <c r="I166" s="31" t="n">
        <f aca="false">IF(H166="","",(D166-Inputs!$C$8)/(G166-Inputs!$C$8))</f>
        <v>0.709779179810726</v>
      </c>
      <c r="J166" s="32" t="n">
        <f aca="false">IF(C166&lt;=Inputs!$C$12,1,0)</f>
        <v>0</v>
      </c>
    </row>
    <row r="167" customFormat="false" ht="15" hidden="false" customHeight="false" outlineLevel="0" collapsed="false">
      <c r="B167" s="30" t="n">
        <v>45709</v>
      </c>
      <c r="C167" s="25" t="n">
        <v>177.15</v>
      </c>
      <c r="D167" s="25" t="n">
        <v>33.92</v>
      </c>
      <c r="E167" s="25" t="n">
        <v>180.952</v>
      </c>
      <c r="F167" s="23" t="n">
        <f aca="false">IF(E167="","",IF(E167&lt;=Inputs!$C$12,Inputs!$C$14,IF(E167&gt;=Inputs!$C$13,Inputs!$C$15,Inputs!$C$11/E167))*C167)</f>
        <v>36.4673366417614</v>
      </c>
      <c r="G167" s="25" t="n">
        <v>36.307</v>
      </c>
      <c r="H167" s="23" t="n">
        <f aca="false">IF(OR(G167="",D167=""),"",G167-D167)</f>
        <v>2.387</v>
      </c>
      <c r="I167" s="31" t="n">
        <f aca="false">IF(H167="","",(D167-Inputs!$C$8)/(G167-Inputs!$C$8))</f>
        <v>0.690281562216167</v>
      </c>
      <c r="J167" s="32" t="n">
        <f aca="false">IF(C167&lt;=Inputs!$C$12,1,0)</f>
        <v>0</v>
      </c>
    </row>
    <row r="168" customFormat="false" ht="15" hidden="false" customHeight="false" outlineLevel="0" collapsed="false">
      <c r="B168" s="30" t="n">
        <v>45712</v>
      </c>
      <c r="C168" s="25" t="n">
        <v>179.91</v>
      </c>
      <c r="D168" s="25" t="n">
        <v>34.02</v>
      </c>
      <c r="E168" s="25" t="n">
        <v>181.767</v>
      </c>
      <c r="F168" s="23" t="n">
        <f aca="false">IF(E168="","",IF(E168&lt;=Inputs!$C$12,Inputs!$C$14,IF(E168&gt;=Inputs!$C$13,Inputs!$C$15,Inputs!$C$11/E168))*C168)</f>
        <v>36.8694399973593</v>
      </c>
      <c r="G168" s="25" t="n">
        <v>36.73</v>
      </c>
      <c r="H168" s="23" t="n">
        <f aca="false">IF(OR(G168="",D168=""),"",G168-D168)</f>
        <v>2.70999999999999</v>
      </c>
      <c r="I168" s="31" t="n">
        <f aca="false">IF(H168="","",(D168-Inputs!$C$8)/(G168-Inputs!$C$8))</f>
        <v>0.666666666666667</v>
      </c>
      <c r="J168" s="32" t="n">
        <f aca="false">IF(C168&lt;=Inputs!$C$12,1,0)</f>
        <v>0</v>
      </c>
    </row>
    <row r="169" customFormat="false" ht="15" hidden="false" customHeight="false" outlineLevel="0" collapsed="false">
      <c r="B169" s="30" t="n">
        <v>45713</v>
      </c>
      <c r="C169" s="25" t="n">
        <v>178.27</v>
      </c>
      <c r="D169" s="25" t="n">
        <v>33.97</v>
      </c>
      <c r="E169" s="25" t="n">
        <v>181.692</v>
      </c>
      <c r="F169" s="23" t="n">
        <f aca="false">IF(E169="","",IF(E169&lt;=Inputs!$C$12,Inputs!$C$14,IF(E169&gt;=Inputs!$C$13,Inputs!$C$15,Inputs!$C$11/E169))*C169)</f>
        <v>36.5484308610175</v>
      </c>
      <c r="G169" s="25" t="n">
        <v>36.472</v>
      </c>
      <c r="H169" s="23" t="n">
        <f aca="false">IF(OR(G169="",D169=""),"",G169-D169)</f>
        <v>2.502</v>
      </c>
      <c r="I169" s="31" t="n">
        <f aca="false">IF(H169="","",(D169-Inputs!$C$8)/(G169-Inputs!$C$8))</f>
        <v>0.682164634146341</v>
      </c>
      <c r="J169" s="32" t="n">
        <f aca="false">IF(C169&lt;=Inputs!$C$12,1,0)</f>
        <v>0</v>
      </c>
    </row>
    <row r="170" customFormat="false" ht="15" hidden="false" customHeight="false" outlineLevel="0" collapsed="false">
      <c r="B170" s="30" t="n">
        <v>45714</v>
      </c>
      <c r="C170" s="25" t="n">
        <v>173.04</v>
      </c>
      <c r="D170" s="25" t="n">
        <v>33.96</v>
      </c>
      <c r="E170" s="25" t="n">
        <v>181.772</v>
      </c>
      <c r="F170" s="23" t="n">
        <f aca="false">IF(E170="","",IF(E170&lt;=Inputs!$C$12,Inputs!$C$14,IF(E170&gt;=Inputs!$C$13,Inputs!$C$15,Inputs!$C$11/E170))*C170)</f>
        <v>35.4605769865546</v>
      </c>
      <c r="G170" s="25" t="n">
        <v>35.881</v>
      </c>
      <c r="H170" s="23" t="n">
        <f aca="false">IF(OR(G170="",D170=""),"",G170-D170)</f>
        <v>1.921</v>
      </c>
      <c r="I170" s="31" t="n">
        <f aca="false">IF(H170="","",(D170-Inputs!$C$8)/(G170-Inputs!$C$8))</f>
        <v>0.736162615025409</v>
      </c>
      <c r="J170" s="32" t="n">
        <f aca="false">IF(C170&lt;=Inputs!$C$12,1,0)</f>
        <v>0</v>
      </c>
    </row>
    <row r="171" customFormat="false" ht="15" hidden="false" customHeight="false" outlineLevel="0" collapsed="false">
      <c r="B171" s="30" t="n">
        <v>45715</v>
      </c>
      <c r="C171" s="25" t="n">
        <v>173.83</v>
      </c>
      <c r="D171" s="25" t="n">
        <v>34.46</v>
      </c>
      <c r="E171" s="25" t="n">
        <v>182.006</v>
      </c>
      <c r="F171" s="23" t="n">
        <f aca="false">IF(E171="","",IF(E171&lt;=Inputs!$C$12,Inputs!$C$14,IF(E171&gt;=Inputs!$C$13,Inputs!$C$15,Inputs!$C$11/E171))*C171)</f>
        <v>35.5766705493226</v>
      </c>
      <c r="G171" s="25" t="n">
        <v>35.933</v>
      </c>
      <c r="H171" s="23" t="n">
        <f aca="false">IF(OR(G171="",D171=""),"",G171-D171)</f>
        <v>1.473</v>
      </c>
      <c r="I171" s="31" t="n">
        <f aca="false">IF(H171="","",(D171-Inputs!$C$8)/(G171-Inputs!$C$8))</f>
        <v>0.799127233056048</v>
      </c>
      <c r="J171" s="32" t="n">
        <f aca="false">IF(C171&lt;=Inputs!$C$12,1,0)</f>
        <v>0</v>
      </c>
    </row>
    <row r="172" customFormat="false" ht="15" hidden="false" customHeight="false" outlineLevel="0" collapsed="false">
      <c r="B172" s="30" t="n">
        <v>45716</v>
      </c>
      <c r="C172" s="25" t="n">
        <v>174.63</v>
      </c>
      <c r="D172" s="25" t="n">
        <v>34.9</v>
      </c>
      <c r="E172" s="25" t="n">
        <v>181.759</v>
      </c>
      <c r="F172" s="23" t="n">
        <f aca="false">IF(E172="","",IF(E172&lt;=Inputs!$C$12,Inputs!$C$14,IF(E172&gt;=Inputs!$C$13,Inputs!$C$15,Inputs!$C$11/E172))*C172)</f>
        <v>35.7889705599173</v>
      </c>
      <c r="G172" s="25" t="n">
        <v>36.04</v>
      </c>
      <c r="H172" s="23" t="n">
        <f aca="false">IF(OR(G172="",D172=""),"",G172-D172)</f>
        <v>1.14</v>
      </c>
      <c r="I172" s="31" t="n">
        <f aca="false">IF(H172="","",(D172-Inputs!$C$8)/(G172-Inputs!$C$8))</f>
        <v>0.846774193548387</v>
      </c>
      <c r="J172" s="32" t="n">
        <f aca="false">IF(C172&lt;=Inputs!$C$12,1,0)</f>
        <v>0</v>
      </c>
    </row>
    <row r="173" customFormat="false" ht="15" hidden="false" customHeight="false" outlineLevel="0" collapsed="false">
      <c r="B173" s="30" t="n">
        <v>45719</v>
      </c>
      <c r="C173" s="25" t="n">
        <v>170.06</v>
      </c>
      <c r="D173" s="25" t="n">
        <v>34.75</v>
      </c>
      <c r="E173" s="25" t="n">
        <v>181.583</v>
      </c>
      <c r="F173" s="23" t="n">
        <f aca="false">IF(E173="","",IF(E173&lt;=Inputs!$C$12,Inputs!$C$14,IF(E173&gt;=Inputs!$C$13,Inputs!$C$15,Inputs!$C$11/E173))*C173)</f>
        <v>34.886167757995</v>
      </c>
      <c r="G173" s="25" t="n">
        <v>35.496</v>
      </c>
      <c r="H173" s="23" t="n">
        <f aca="false">IF(OR(G173="",D173=""),"",G173-D173)</f>
        <v>0.746000000000002</v>
      </c>
      <c r="I173" s="31" t="n">
        <f aca="false">IF(H173="","",(D173-Inputs!$C$8)/(G173-Inputs!$C$8))</f>
        <v>0.891821345707656</v>
      </c>
      <c r="J173" s="32" t="n">
        <f aca="false">IF(C173&lt;=Inputs!$C$12,1,0)</f>
        <v>0</v>
      </c>
    </row>
    <row r="174" customFormat="false" ht="15" hidden="false" customHeight="false" outlineLevel="0" collapsed="false">
      <c r="B174" s="30" t="n">
        <v>45720</v>
      </c>
      <c r="C174" s="25" t="n">
        <v>158.9</v>
      </c>
      <c r="D174" s="25" t="n">
        <v>33.46</v>
      </c>
      <c r="E174" s="25" t="n">
        <v>180.988</v>
      </c>
      <c r="F174" s="23" t="n">
        <f aca="false">IF(E174="","",IF(E174&lt;=Inputs!$C$12,Inputs!$C$14,IF(E174&gt;=Inputs!$C$13,Inputs!$C$15,Inputs!$C$11/E174))*C174)</f>
        <v>32.7039637987049</v>
      </c>
      <c r="G174" s="25" t="n">
        <v>33.968</v>
      </c>
      <c r="H174" s="23" t="n">
        <f aca="false">IF(OR(G174="",D174=""),"",G174-D174)</f>
        <v>0.508000000000003</v>
      </c>
      <c r="I174" s="31" t="n">
        <f aca="false">IF(H174="","",(D174-Inputs!$C$8)/(G174-Inputs!$C$8))</f>
        <v>0.905365126676602</v>
      </c>
      <c r="J174" s="32" t="n">
        <f aca="false">IF(C174&lt;=Inputs!$C$12,1,0)</f>
        <v>0</v>
      </c>
    </row>
    <row r="175" customFormat="false" ht="15" hidden="false" customHeight="false" outlineLevel="0" collapsed="false">
      <c r="B175" s="30" t="n">
        <v>45721</v>
      </c>
      <c r="C175" s="25" t="n">
        <v>163.16</v>
      </c>
      <c r="D175" s="25" t="n">
        <v>33.78</v>
      </c>
      <c r="E175" s="25" t="n">
        <v>180.358</v>
      </c>
      <c r="F175" s="23" t="n">
        <f aca="false">IF(E175="","",IF(E175&lt;=Inputs!$C$12,Inputs!$C$14,IF(E175&gt;=Inputs!$C$13,Inputs!$C$15,Inputs!$C$11/E175))*C175)</f>
        <v>33.6980339103339</v>
      </c>
      <c r="G175" s="25" t="n">
        <v>34.667</v>
      </c>
      <c r="H175" s="23" t="n">
        <f aca="false">IF(OR(G175="",D175=""),"",G175-D175)</f>
        <v>0.887000000000001</v>
      </c>
      <c r="I175" s="31" t="n">
        <f aca="false">IF(H175="","",(D175-Inputs!$C$8)/(G175-Inputs!$C$8))</f>
        <v>0.853799241799901</v>
      </c>
      <c r="J175" s="32" t="n">
        <f aca="false">IF(C175&lt;=Inputs!$C$12,1,0)</f>
        <v>0</v>
      </c>
    </row>
    <row r="176" customFormat="false" ht="15" hidden="false" customHeight="false" outlineLevel="0" collapsed="false">
      <c r="B176" s="30" t="n">
        <v>45722</v>
      </c>
      <c r="C176" s="25" t="n">
        <v>158.43</v>
      </c>
      <c r="D176" s="25" t="n">
        <v>33.45</v>
      </c>
      <c r="E176" s="25" t="n">
        <v>177.521</v>
      </c>
      <c r="F176" s="23" t="n">
        <f aca="false">IF(E176="","",IF(E176&lt;=Inputs!$C$12,Inputs!$C$14,IF(E176&gt;=Inputs!$C$13,Inputs!$C$15,Inputs!$C$11/E176))*C176)</f>
        <v>33.2440528162865</v>
      </c>
      <c r="G176" s="25" t="n">
        <v>34.013</v>
      </c>
      <c r="H176" s="23" t="n">
        <f aca="false">IF(OR(G176="",D176=""),"",G176-D176)</f>
        <v>0.562999999999995</v>
      </c>
      <c r="I176" s="31" t="n">
        <f aca="false">IF(H176="","",(D176-Inputs!$C$8)/(G176-Inputs!$C$8))</f>
        <v>0.895991132458896</v>
      </c>
      <c r="J176" s="32" t="n">
        <f aca="false">IF(C176&lt;=Inputs!$C$12,1,0)</f>
        <v>0</v>
      </c>
    </row>
    <row r="177" customFormat="false" ht="15" hidden="false" customHeight="false" outlineLevel="0" collapsed="false">
      <c r="B177" s="30" t="n">
        <v>45723</v>
      </c>
      <c r="C177" s="25" t="n">
        <v>154.18</v>
      </c>
      <c r="D177" s="25" t="n">
        <v>33.17</v>
      </c>
      <c r="E177" s="25" t="n">
        <v>176.426</v>
      </c>
      <c r="F177" s="23" t="n">
        <f aca="false">IF(E177="","",IF(E177&lt;=Inputs!$C$12,Inputs!$C$14,IF(E177&gt;=Inputs!$C$13,Inputs!$C$15,Inputs!$C$11/E177))*C177)</f>
        <v>32.553053404827</v>
      </c>
      <c r="G177" s="25" t="n">
        <v>33.305</v>
      </c>
      <c r="H177" s="23" t="n">
        <f aca="false">IF(OR(G177="",D177=""),"",G177-D177)</f>
        <v>0.134999999999998</v>
      </c>
      <c r="I177" s="31" t="n">
        <f aca="false">IF(H177="","",(D177-Inputs!$C$8)/(G177-Inputs!$C$8))</f>
        <v>0.971307120085016</v>
      </c>
      <c r="J177" s="32" t="n">
        <f aca="false">IF(C177&lt;=Inputs!$C$12,1,0)</f>
        <v>0</v>
      </c>
    </row>
    <row r="178" customFormat="false" ht="15" hidden="false" customHeight="false" outlineLevel="0" collapsed="false">
      <c r="B178" s="30" t="n">
        <v>45726</v>
      </c>
      <c r="C178" s="25" t="n">
        <v>148.15</v>
      </c>
      <c r="D178" s="25" t="n">
        <v>32.17</v>
      </c>
      <c r="E178" s="25" t="n">
        <v>174.89</v>
      </c>
      <c r="F178" s="23" t="n">
        <f aca="false">IF(E178="","",IF(E178&lt;=Inputs!$C$12,Inputs!$C$14,IF(E178&gt;=Inputs!$C$13,Inputs!$C$15,Inputs!$C$11/E178))*C178)</f>
        <v>31.5546200468866</v>
      </c>
      <c r="G178" s="25" t="n">
        <v>32.39</v>
      </c>
      <c r="H178" s="23" t="n">
        <f aca="false">IF(OR(G178="",D178=""),"",G178-D178)</f>
        <v>0.219999999999999</v>
      </c>
      <c r="I178" s="31" t="n">
        <f aca="false">IF(H178="","",(D178-Inputs!$C$8)/(G178-Inputs!$C$8))</f>
        <v>0.941952506596306</v>
      </c>
      <c r="J178" s="32" t="n">
        <f aca="false">IF(C178&lt;=Inputs!$C$12,1,0)</f>
        <v>1</v>
      </c>
    </row>
    <row r="179" customFormat="false" ht="15" hidden="false" customHeight="false" outlineLevel="0" collapsed="false">
      <c r="B179" s="30" t="n">
        <v>45727</v>
      </c>
      <c r="C179" s="25" t="n">
        <v>154.06</v>
      </c>
      <c r="D179" s="25" t="n">
        <v>32.84</v>
      </c>
      <c r="E179" s="25" t="n">
        <v>171.922</v>
      </c>
      <c r="F179" s="23" t="n">
        <f aca="false">IF(E179="","",IF(E179&lt;=Inputs!$C$12,Inputs!$C$14,IF(E179&gt;=Inputs!$C$13,Inputs!$C$15,Inputs!$C$11/E179))*C179)</f>
        <v>33.379875757611</v>
      </c>
      <c r="G179" s="25" t="n">
        <v>33.251</v>
      </c>
      <c r="H179" s="23" t="n">
        <f aca="false">IF(OR(G179="",D179=""),"",G179-D179)</f>
        <v>0.410999999999994</v>
      </c>
      <c r="I179" s="31" t="n">
        <f aca="false">IF(H179="","",(D179-Inputs!$C$8)/(G179-Inputs!$C$8))</f>
        <v>0.91163190711675</v>
      </c>
      <c r="J179" s="32" t="n">
        <f aca="false">IF(C179&lt;=Inputs!$C$12,1,0)</f>
        <v>0</v>
      </c>
    </row>
    <row r="180" customFormat="false" ht="15" hidden="false" customHeight="false" outlineLevel="0" collapsed="false">
      <c r="B180" s="30" t="n">
        <v>45728</v>
      </c>
      <c r="C180" s="25" t="n">
        <v>158.8</v>
      </c>
      <c r="D180" s="25" t="n">
        <v>33.33</v>
      </c>
      <c r="E180" s="25" t="n">
        <v>169.377</v>
      </c>
      <c r="F180" s="23" t="n">
        <f aca="false">IF(E180="","",IF(E180&lt;=Inputs!$C$12,Inputs!$C$14,IF(E180&gt;=Inputs!$C$13,Inputs!$C$15,Inputs!$C$11/E180))*C180)</f>
        <v>34.9238680576466</v>
      </c>
      <c r="G180" s="25" t="n">
        <v>33.981</v>
      </c>
      <c r="H180" s="23" t="n">
        <f aca="false">IF(OR(G180="",D180=""),"",G180-D180)</f>
        <v>0.651000000000003</v>
      </c>
      <c r="I180" s="31" t="n">
        <f aca="false">IF(H180="","",(D180-Inputs!$C$8)/(G180-Inputs!$C$8))</f>
        <v>0.8790187697454</v>
      </c>
      <c r="J180" s="32" t="n">
        <f aca="false">IF(C180&lt;=Inputs!$C$12,1,0)</f>
        <v>0</v>
      </c>
    </row>
    <row r="181" customFormat="false" ht="15" hidden="false" customHeight="false" outlineLevel="0" collapsed="false">
      <c r="B181" s="30" t="n">
        <v>45729</v>
      </c>
      <c r="C181" s="25" t="n">
        <v>159.32</v>
      </c>
      <c r="D181" s="25" t="n">
        <v>33.19</v>
      </c>
      <c r="E181" s="25" t="n">
        <v>166.996</v>
      </c>
      <c r="F181" s="23" t="n">
        <f aca="false">IF(E181="","",IF(E181&lt;=Inputs!$C$12,Inputs!$C$14,IF(E181&gt;=Inputs!$C$13,Inputs!$C$15,Inputs!$C$11/E181))*C181)</f>
        <v>35.5377973125105</v>
      </c>
      <c r="G181" s="25" t="n">
        <v>33.984</v>
      </c>
      <c r="H181" s="23" t="n">
        <f aca="false">IF(OR(G181="",D181=""),"",G181-D181)</f>
        <v>0.794000000000004</v>
      </c>
      <c r="I181" s="31" t="n">
        <f aca="false">IF(H181="","",(D181-Inputs!$C$8)/(G181-Inputs!$C$8))</f>
        <v>0.852526002971768</v>
      </c>
      <c r="J181" s="32" t="n">
        <f aca="false">IF(C181&lt;=Inputs!$C$12,1,0)</f>
        <v>0</v>
      </c>
    </row>
    <row r="182" customFormat="false" ht="15" hidden="false" customHeight="false" outlineLevel="0" collapsed="false">
      <c r="B182" s="30" t="n">
        <v>45730</v>
      </c>
      <c r="C182" s="25" t="n">
        <v>161.81</v>
      </c>
      <c r="D182" s="25" t="n">
        <v>33.44</v>
      </c>
      <c r="E182" s="25" t="n">
        <v>165.309</v>
      </c>
      <c r="F182" s="23" t="n">
        <f aca="false">IF(E182="","",IF(E182&lt;=Inputs!$C$12,Inputs!$C$14,IF(E182&gt;=Inputs!$C$13,Inputs!$C$15,Inputs!$C$11/E182))*C182)</f>
        <v>36.4615507927578</v>
      </c>
      <c r="G182" s="25" t="n">
        <v>34.444</v>
      </c>
      <c r="H182" s="23" t="n">
        <f aca="false">IF(OR(G182="",D182=""),"",G182-D182)</f>
        <v>1.004</v>
      </c>
      <c r="I182" s="31" t="n">
        <f aca="false">IF(H182="","",(D182-Inputs!$C$8)/(G182-Inputs!$C$8))</f>
        <v>0.82819986310746</v>
      </c>
      <c r="J182" s="32" t="n">
        <f aca="false">IF(C182&lt;=Inputs!$C$12,1,0)</f>
        <v>0</v>
      </c>
    </row>
    <row r="183" customFormat="false" ht="15" hidden="false" customHeight="false" outlineLevel="0" collapsed="false">
      <c r="B183" s="30" t="n">
        <v>45733</v>
      </c>
      <c r="C183" s="25" t="n">
        <v>161.85</v>
      </c>
      <c r="D183" s="25" t="n">
        <v>33.62</v>
      </c>
      <c r="E183" s="25" t="n">
        <v>163.945</v>
      </c>
      <c r="F183" s="23" t="n">
        <f aca="false">IF(E183="","",IF(E183&lt;=Inputs!$C$12,Inputs!$C$14,IF(E183&gt;=Inputs!$C$13,Inputs!$C$15,Inputs!$C$11/E183))*C183)</f>
        <v>36.7739943273659</v>
      </c>
      <c r="G183" s="25" t="n">
        <v>34.523</v>
      </c>
      <c r="H183" s="23" t="n">
        <f aca="false">IF(OR(G183="",D183=""),"",G183-D183)</f>
        <v>0.903000000000006</v>
      </c>
      <c r="I183" s="31" t="n">
        <f aca="false">IF(H183="","",(D183-Inputs!$C$8)/(G183-Inputs!$C$8))</f>
        <v>0.847543474590578</v>
      </c>
      <c r="J183" s="32" t="n">
        <f aca="false">IF(C183&lt;=Inputs!$C$12,1,0)</f>
        <v>0</v>
      </c>
    </row>
    <row r="184" customFormat="false" ht="15" hidden="false" customHeight="false" outlineLevel="0" collapsed="false">
      <c r="B184" s="30" t="n">
        <v>45734</v>
      </c>
      <c r="C184" s="25" t="n">
        <v>161.57</v>
      </c>
      <c r="D184" s="25" t="n">
        <v>33.79</v>
      </c>
      <c r="E184" s="25" t="n">
        <v>162.762</v>
      </c>
      <c r="F184" s="23" t="n">
        <f aca="false">IF(E184="","",IF(E184&lt;=Inputs!$C$12,Inputs!$C$14,IF(E184&gt;=Inputs!$C$13,Inputs!$C$15,Inputs!$C$11/E184))*C184)</f>
        <v>36.9771967658299</v>
      </c>
      <c r="G184" s="25" t="n">
        <v>34.438</v>
      </c>
      <c r="H184" s="23" t="n">
        <f aca="false">IF(OR(G184="",D184=""),"",G184-D184)</f>
        <v>0.648000000000003</v>
      </c>
      <c r="I184" s="31" t="n">
        <f aca="false">IF(H184="","",(D184-Inputs!$C$8)/(G184-Inputs!$C$8))</f>
        <v>0.889003083247687</v>
      </c>
      <c r="J184" s="32" t="n">
        <f aca="false">IF(C184&lt;=Inputs!$C$12,1,0)</f>
        <v>0</v>
      </c>
    </row>
    <row r="185" customFormat="false" ht="15" hidden="false" customHeight="false" outlineLevel="0" collapsed="false">
      <c r="B185" s="30" t="n">
        <v>45735</v>
      </c>
      <c r="C185" s="25" t="n">
        <v>172.62</v>
      </c>
      <c r="D185" s="25" t="n">
        <v>35.12</v>
      </c>
      <c r="E185" s="25" t="n">
        <v>161.526</v>
      </c>
      <c r="F185" s="23" t="n">
        <f aca="false">IF(E185="","",IF(E185&lt;=Inputs!$C$12,Inputs!$C$14,IF(E185&gt;=Inputs!$C$13,Inputs!$C$15,Inputs!$C$11/E185))*C185)</f>
        <v>39.8084209353293</v>
      </c>
      <c r="G185" s="25" t="n">
        <v>35.81</v>
      </c>
      <c r="H185" s="23" t="n">
        <f aca="false">IF(OR(G185="",D185=""),"",G185-D185)</f>
        <v>0.690000000000005</v>
      </c>
      <c r="I185" s="31" t="n">
        <f aca="false">IF(H185="","",(D185-Inputs!$C$8)/(G185-Inputs!$C$8))</f>
        <v>0.904299583911234</v>
      </c>
      <c r="J185" s="32" t="n">
        <f aca="false">IF(C185&lt;=Inputs!$C$12,1,0)</f>
        <v>0</v>
      </c>
    </row>
    <row r="186" customFormat="false" ht="15" hidden="false" customHeight="false" outlineLevel="0" collapsed="false">
      <c r="B186" s="30" t="n">
        <v>45736</v>
      </c>
      <c r="C186" s="25" t="n">
        <v>172.83</v>
      </c>
      <c r="D186" s="25" t="n">
        <v>34.99</v>
      </c>
      <c r="E186" s="25" t="n">
        <v>160.662</v>
      </c>
      <c r="F186" s="23" t="n">
        <f aca="false">IF(E186="","",IF(E186&lt;=Inputs!$C$12,Inputs!$C$14,IF(E186&gt;=Inputs!$C$13,Inputs!$C$15,Inputs!$C$11/E186))*C186)</f>
        <v>40.0711898270904</v>
      </c>
      <c r="G186" s="25" t="n">
        <v>35.864</v>
      </c>
      <c r="H186" s="23" t="n">
        <f aca="false">IF(OR(G186="",D186=""),"",G186-D186)</f>
        <v>0.873999999999995</v>
      </c>
      <c r="I186" s="31" t="n">
        <f aca="false">IF(H186="","",(D186-Inputs!$C$8)/(G186-Inputs!$C$8))</f>
        <v>0.879680616740089</v>
      </c>
      <c r="J186" s="32" t="n">
        <f aca="false">IF(C186&lt;=Inputs!$C$12,1,0)</f>
        <v>0</v>
      </c>
    </row>
    <row r="187" customFormat="false" ht="15" hidden="false" customHeight="false" outlineLevel="0" collapsed="false">
      <c r="B187" s="30" t="n">
        <v>45737</v>
      </c>
      <c r="C187" s="25" t="n">
        <v>178.11</v>
      </c>
      <c r="D187" s="25" t="n">
        <v>35.61</v>
      </c>
      <c r="E187" s="25" t="n">
        <v>160.993</v>
      </c>
      <c r="F187" s="23" t="n">
        <f aca="false">IF(E187="","",IF(E187&lt;=Inputs!$C$12,Inputs!$C$14,IF(E187&gt;=Inputs!$C$13,Inputs!$C$15,Inputs!$C$11/E187))*C187)</f>
        <v>41.2104718838707</v>
      </c>
      <c r="G187" s="25" t="n">
        <v>36.51</v>
      </c>
      <c r="H187" s="23" t="n">
        <f aca="false">IF(OR(G187="",D187=""),"",G187-D187)</f>
        <v>0.899999999999999</v>
      </c>
      <c r="I187" s="31" t="n">
        <f aca="false">IF(H187="","",(D187-Inputs!$C$8)/(G187-Inputs!$C$8))</f>
        <v>0.88621997471555</v>
      </c>
      <c r="J187" s="32" t="n">
        <f aca="false">IF(C187&lt;=Inputs!$C$12,1,0)</f>
        <v>0</v>
      </c>
    </row>
    <row r="188" customFormat="false" ht="15" hidden="false" customHeight="false" outlineLevel="0" collapsed="false">
      <c r="B188" s="30" t="n">
        <v>45740</v>
      </c>
      <c r="C188" s="25" t="n">
        <v>180.9</v>
      </c>
      <c r="D188" s="25" t="n">
        <v>35.58</v>
      </c>
      <c r="E188" s="25" t="n">
        <v>160.913</v>
      </c>
      <c r="F188" s="23" t="n">
        <f aca="false">IF(E188="","",IF(E188&lt;=Inputs!$C$12,Inputs!$C$14,IF(E188&gt;=Inputs!$C$13,Inputs!$C$15,Inputs!$C$11/E188))*C188)</f>
        <v>41.8768216365365</v>
      </c>
      <c r="G188" s="25" t="n">
        <v>36.488</v>
      </c>
      <c r="H188" s="23" t="n">
        <f aca="false">IF(OR(G188="",D188=""),"",G188-D188)</f>
        <v>0.908000000000001</v>
      </c>
      <c r="I188" s="31" t="n">
        <f aca="false">IF(H188="","",(D188-Inputs!$C$8)/(G188-Inputs!$C$8))</f>
        <v>0.884888438133874</v>
      </c>
      <c r="J188" s="32" t="n">
        <f aca="false">IF(C188&lt;=Inputs!$C$12,1,0)</f>
        <v>0</v>
      </c>
    </row>
    <row r="189" customFormat="false" ht="15" hidden="false" customHeight="false" outlineLevel="0" collapsed="false">
      <c r="B189" s="30" t="n">
        <v>45741</v>
      </c>
      <c r="C189" s="25" t="n">
        <v>182.59</v>
      </c>
      <c r="D189" s="25" t="n">
        <v>35.5</v>
      </c>
      <c r="E189" s="25" t="n">
        <v>163.455</v>
      </c>
      <c r="F189" s="23" t="n">
        <f aca="false">IF(E189="","",IF(E189&lt;=Inputs!$C$12,Inputs!$C$14,IF(E189&gt;=Inputs!$C$13,Inputs!$C$15,Inputs!$C$11/E189))*C189)</f>
        <v>41.6107032516595</v>
      </c>
      <c r="G189" s="25" t="n">
        <v>36.741</v>
      </c>
      <c r="H189" s="23" t="n">
        <f aca="false">IF(OR(G189="",D189=""),"",G189-D189)</f>
        <v>1.241</v>
      </c>
      <c r="I189" s="31" t="n">
        <f aca="false">IF(H189="","",(D189-Inputs!$C$8)/(G189-Inputs!$C$8))</f>
        <v>0.847561724603857</v>
      </c>
      <c r="J189" s="32" t="n">
        <f aca="false">IF(C189&lt;=Inputs!$C$12,1,0)</f>
        <v>0</v>
      </c>
    </row>
    <row r="190" customFormat="false" ht="15" hidden="false" customHeight="false" outlineLevel="0" collapsed="false">
      <c r="B190" s="30" t="n">
        <v>45742</v>
      </c>
      <c r="C190" s="25" t="n">
        <v>178.55</v>
      </c>
      <c r="D190" s="25" t="n">
        <v>35.34</v>
      </c>
      <c r="E190" s="25" t="n">
        <v>164.324</v>
      </c>
      <c r="F190" s="23" t="n">
        <f aca="false">IF(E190="","",IF(E190&lt;=Inputs!$C$12,Inputs!$C$14,IF(E190&gt;=Inputs!$C$13,Inputs!$C$15,Inputs!$C$11/E190))*C190)</f>
        <v>40.4748393417882</v>
      </c>
      <c r="G190" s="25" t="n">
        <v>36.93</v>
      </c>
      <c r="H190" s="23" t="n">
        <f aca="false">IF(OR(G190="",D190=""),"",G190-D190)</f>
        <v>1.59</v>
      </c>
      <c r="I190" s="31" t="n">
        <f aca="false">IF(H190="","",(D190-Inputs!$C$8)/(G190-Inputs!$C$8))</f>
        <v>0.809123649459784</v>
      </c>
      <c r="J190" s="32" t="n">
        <f aca="false">IF(C190&lt;=Inputs!$C$12,1,0)</f>
        <v>0</v>
      </c>
    </row>
    <row r="191" customFormat="false" ht="15" hidden="false" customHeight="false" outlineLevel="0" collapsed="false">
      <c r="B191" s="30" t="n">
        <v>45743</v>
      </c>
      <c r="C191" s="25" t="n">
        <v>179.11</v>
      </c>
      <c r="D191" s="25" t="n">
        <v>35.2</v>
      </c>
      <c r="E191" s="25" t="n">
        <v>165.575</v>
      </c>
      <c r="F191" s="23" t="n">
        <f aca="false">IF(E191="","",IF(E191&lt;=Inputs!$C$12,Inputs!$C$14,IF(E191&gt;=Inputs!$C$13,Inputs!$C$15,Inputs!$C$11/E191))*C191)</f>
        <v>40.2950173637325</v>
      </c>
      <c r="G191" s="25" t="n">
        <v>36.499</v>
      </c>
      <c r="H191" s="23" t="n">
        <f aca="false">IF(OR(G191="",D191=""),"",G191-D191)</f>
        <v>1.299</v>
      </c>
      <c r="I191" s="31" t="n">
        <f aca="false">IF(H191="","",(D191-Inputs!$C$8)/(G191-Inputs!$C$8))</f>
        <v>0.835548803646031</v>
      </c>
      <c r="J191" s="32" t="n">
        <f aca="false">IF(C191&lt;=Inputs!$C$12,1,0)</f>
        <v>0</v>
      </c>
    </row>
    <row r="192" customFormat="false" ht="15" hidden="false" customHeight="false" outlineLevel="0" collapsed="false">
      <c r="B192" s="30" t="n">
        <v>45744</v>
      </c>
      <c r="C192" s="25" t="n">
        <v>173.31</v>
      </c>
      <c r="D192" s="25" t="n">
        <v>34.72</v>
      </c>
      <c r="E192" s="25" t="n">
        <v>166.437</v>
      </c>
      <c r="F192" s="23" t="n">
        <f aca="false">IF(E192="","",IF(E192&lt;=Inputs!$C$12,Inputs!$C$14,IF(E192&gt;=Inputs!$C$13,Inputs!$C$15,Inputs!$C$11/E192))*C192)</f>
        <v>38.7882351880892</v>
      </c>
      <c r="G192" s="25" t="n">
        <v>36.584</v>
      </c>
      <c r="H192" s="23" t="n">
        <f aca="false">IF(OR(G192="",D192=""),"",G192-D192)</f>
        <v>1.864</v>
      </c>
      <c r="I192" s="31" t="n">
        <f aca="false">IF(H192="","",(D192-Inputs!$C$8)/(G192-Inputs!$C$8))</f>
        <v>0.766533066132264</v>
      </c>
      <c r="J192" s="32" t="n">
        <f aca="false">IF(C192&lt;=Inputs!$C$12,1,0)</f>
        <v>0</v>
      </c>
    </row>
    <row r="193" customFormat="false" ht="15" hidden="false" customHeight="false" outlineLevel="0" collapsed="false">
      <c r="B193" s="30" t="n">
        <v>45747</v>
      </c>
      <c r="C193" s="25" t="n">
        <v>170.55</v>
      </c>
      <c r="D193" s="25" t="n">
        <v>34.46</v>
      </c>
      <c r="E193" s="25" t="n">
        <v>167.247</v>
      </c>
      <c r="F193" s="23" t="n">
        <f aca="false">IF(E193="","",IF(E193&lt;=Inputs!$C$12,Inputs!$C$14,IF(E193&gt;=Inputs!$C$13,Inputs!$C$15,Inputs!$C$11/E193))*C193)</f>
        <v>37.9856589355863</v>
      </c>
      <c r="G193" s="25" t="n">
        <v>35.87</v>
      </c>
      <c r="H193" s="23" t="n">
        <f aca="false">IF(OR(G193="",D193=""),"",G193-D193)</f>
        <v>1.41</v>
      </c>
      <c r="I193" s="31" t="n">
        <f aca="false">IF(H193="","",(D193-Inputs!$C$8)/(G193-Inputs!$C$8))</f>
        <v>0.806052269601101</v>
      </c>
      <c r="J193" s="32" t="n">
        <f aca="false">IF(C193&lt;=Inputs!$C$12,1,0)</f>
        <v>0</v>
      </c>
    </row>
    <row r="194" customFormat="false" ht="15" hidden="false" customHeight="false" outlineLevel="0" collapsed="false">
      <c r="B194" s="30" t="n">
        <v>45748</v>
      </c>
      <c r="C194" s="25" t="n">
        <v>168.17</v>
      </c>
      <c r="D194" s="25" t="n">
        <v>34.25</v>
      </c>
      <c r="E194" s="25" t="n">
        <v>168.998</v>
      </c>
      <c r="F194" s="23" t="n">
        <f aca="false">IF(E194="","",IF(E194&lt;=Inputs!$C$12,Inputs!$C$14,IF(E194&gt;=Inputs!$C$13,Inputs!$C$15,Inputs!$C$11/E194))*C194)</f>
        <v>37.0674948815962</v>
      </c>
      <c r="G194" s="25" t="n">
        <v>35.277</v>
      </c>
      <c r="H194" s="23" t="n">
        <f aca="false">IF(OR(G194="",D194=""),"",G194-D194)</f>
        <v>1.027</v>
      </c>
      <c r="I194" s="31" t="n">
        <f aca="false">IF(H194="","",(D194-Inputs!$C$8)/(G194-Inputs!$C$8))</f>
        <v>0.84618840796765</v>
      </c>
      <c r="J194" s="32" t="n">
        <f aca="false">IF(C194&lt;=Inputs!$C$12,1,0)</f>
        <v>0</v>
      </c>
    </row>
    <row r="195" customFormat="false" ht="15" hidden="false" customHeight="false" outlineLevel="0" collapsed="false">
      <c r="B195" s="30" t="n">
        <v>45749</v>
      </c>
      <c r="C195" s="25" t="n">
        <v>168.56</v>
      </c>
      <c r="D195" s="25" t="n">
        <v>34.07</v>
      </c>
      <c r="E195" s="25" t="n">
        <v>170.688</v>
      </c>
      <c r="F195" s="23" t="n">
        <f aca="false">IF(E195="","",IF(E195&lt;=Inputs!$C$12,Inputs!$C$14,IF(E195&gt;=Inputs!$C$13,Inputs!$C$15,Inputs!$C$11/E195))*C195)</f>
        <v>36.7855971128609</v>
      </c>
      <c r="G195" s="25" t="n">
        <v>35.366</v>
      </c>
      <c r="H195" s="23" t="n">
        <f aca="false">IF(OR(G195="",D195=""),"",G195-D195)</f>
        <v>1.296</v>
      </c>
      <c r="I195" s="31" t="n">
        <f aca="false">IF(H195="","",(D195-Inputs!$C$8)/(G195-Inputs!$C$8))</f>
        <v>0.808454034880284</v>
      </c>
      <c r="J195" s="32" t="n">
        <f aca="false">IF(C195&lt;=Inputs!$C$12,1,0)</f>
        <v>0</v>
      </c>
    </row>
    <row r="196" customFormat="false" ht="15" hidden="false" customHeight="false" outlineLevel="0" collapsed="false">
      <c r="B196" s="30" t="n">
        <v>45750</v>
      </c>
      <c r="C196" s="25" t="n">
        <v>150.91</v>
      </c>
      <c r="D196" s="25" t="n">
        <v>32.39</v>
      </c>
      <c r="E196" s="25" t="n">
        <v>172.004</v>
      </c>
      <c r="F196" s="23" t="n">
        <f aca="false">IF(E196="","",IF(E196&lt;=Inputs!$C$12,Inputs!$C$14,IF(E196&gt;=Inputs!$C$13,Inputs!$C$15,Inputs!$C$11/E196))*C196)</f>
        <v>32.681783563173</v>
      </c>
      <c r="G196" s="25" t="n">
        <v>32.654</v>
      </c>
      <c r="H196" s="23" t="n">
        <f aca="false">IF(OR(G196="",D196=""),"",G196-D196)</f>
        <v>0.264000000000003</v>
      </c>
      <c r="I196" s="31" t="n">
        <f aca="false">IF(H196="","",(D196-Inputs!$C$8)/(G196-Inputs!$C$8))</f>
        <v>0.934879131721756</v>
      </c>
      <c r="J196" s="32" t="n">
        <f aca="false">IF(C196&lt;=Inputs!$C$12,1,0)</f>
        <v>0</v>
      </c>
    </row>
    <row r="197" customFormat="false" ht="15" hidden="false" customHeight="false" outlineLevel="0" collapsed="false">
      <c r="B197" s="30" t="n">
        <v>45751</v>
      </c>
      <c r="C197" s="25" t="n">
        <v>136.59</v>
      </c>
      <c r="D197" s="25" t="n">
        <v>29.03</v>
      </c>
      <c r="E197" s="25" t="n">
        <v>172.837</v>
      </c>
      <c r="F197" s="23" t="n">
        <f aca="false">IF(E197="","",IF(E197&lt;=Inputs!$C$12,Inputs!$C$14,IF(E197&gt;=Inputs!$C$13,Inputs!$C$15,Inputs!$C$11/E197))*C197)</f>
        <v>29.4380109583018</v>
      </c>
      <c r="G197" s="25" t="n">
        <v>29.617</v>
      </c>
      <c r="H197" s="23" t="n">
        <f aca="false">IF(OR(G197="",D197=""),"",G197-D197)</f>
        <v>0.587</v>
      </c>
      <c r="I197" s="31" t="n">
        <f aca="false">IF(H197="","",(D197-Inputs!$C$8)/(G197-Inputs!$C$8))</f>
        <v>0.422812192723697</v>
      </c>
      <c r="J197" s="32" t="n">
        <f aca="false">IF(C197&lt;=Inputs!$C$12,1,0)</f>
        <v>1</v>
      </c>
    </row>
    <row r="198" customFormat="false" ht="15" hidden="false" customHeight="false" outlineLevel="0" collapsed="false">
      <c r="B198" s="30" t="n">
        <v>45754</v>
      </c>
      <c r="C198" s="25" t="n">
        <v>138.86</v>
      </c>
      <c r="D198" s="25" t="n">
        <v>29.17</v>
      </c>
      <c r="E198" s="25" t="n">
        <v>171.14</v>
      </c>
      <c r="F198" s="23" t="n">
        <f aca="false">IF(E198="","",IF(E198&lt;=Inputs!$C$12,Inputs!$C$14,IF(E198&gt;=Inputs!$C$13,Inputs!$C$15,Inputs!$C$11/E198))*C198)</f>
        <v>30.223997896459</v>
      </c>
      <c r="G198" s="25" t="n">
        <v>29.952</v>
      </c>
      <c r="H198" s="23" t="n">
        <f aca="false">IF(OR(G198="",D198=""),"",G198-D198)</f>
        <v>0.782</v>
      </c>
      <c r="I198" s="31" t="n">
        <f aca="false">IF(H198="","",(D198-Inputs!$C$8)/(G198-Inputs!$C$8))</f>
        <v>0.421597633136095</v>
      </c>
      <c r="J198" s="32" t="n">
        <f aca="false">IF(C198&lt;=Inputs!$C$12,1,0)</f>
        <v>1</v>
      </c>
    </row>
    <row r="199" customFormat="false" ht="15" hidden="false" customHeight="false" outlineLevel="0" collapsed="false">
      <c r="B199" s="30" t="n">
        <v>45755</v>
      </c>
      <c r="C199" s="25" t="n">
        <v>139.39</v>
      </c>
      <c r="D199" s="25" t="n">
        <v>29.9</v>
      </c>
      <c r="E199" s="25" t="n">
        <v>166.641</v>
      </c>
      <c r="F199" s="23" t="n">
        <f aca="false">IF(E199="","",IF(E199&lt;=Inputs!$C$12,Inputs!$C$14,IF(E199&gt;=Inputs!$C$13,Inputs!$C$15,Inputs!$C$11/E199))*C199)</f>
        <v>31.1584634033641</v>
      </c>
      <c r="G199" s="25" t="n">
        <v>29.769</v>
      </c>
      <c r="H199" s="23" t="n">
        <f aca="false">IF(OR(G199="",D199=""),"",G199-D199)</f>
        <v>-0.131</v>
      </c>
      <c r="I199" s="31" t="n">
        <f aca="false">IF(H199="","",(D199-Inputs!$C$8)/(G199-Inputs!$C$8))</f>
        <v>1.11206159110351</v>
      </c>
      <c r="J199" s="32" t="n">
        <f aca="false">IF(C199&lt;=Inputs!$C$12,1,0)</f>
        <v>1</v>
      </c>
    </row>
    <row r="200" customFormat="false" ht="15" hidden="false" customHeight="false" outlineLevel="0" collapsed="false">
      <c r="B200" s="30" t="n">
        <v>45756</v>
      </c>
      <c r="C200" s="25" t="n">
        <v>160.82</v>
      </c>
      <c r="D200" s="25" t="n">
        <v>33.17</v>
      </c>
      <c r="E200" s="25" t="n">
        <v>163.434</v>
      </c>
      <c r="F200" s="23" t="n">
        <f aca="false">IF(E200="","",IF(E200&lt;=Inputs!$C$12,Inputs!$C$14,IF(E200&gt;=Inputs!$C$13,Inputs!$C$15,Inputs!$C$11/E200))*C200)</f>
        <v>36.6542151571888</v>
      </c>
      <c r="G200" s="25" t="n">
        <v>33.615</v>
      </c>
      <c r="H200" s="23" t="n">
        <f aca="false">IF(OR(G200="",D200=""),"",G200-D200)</f>
        <v>0.445</v>
      </c>
      <c r="I200" s="31" t="n">
        <f aca="false">IF(H200="","",(D200-Inputs!$C$8)/(G200-Inputs!$C$8))</f>
        <v>0.911266201395813</v>
      </c>
      <c r="J200" s="32" t="n">
        <f aca="false">IF(C200&lt;=Inputs!$C$12,1,0)</f>
        <v>0</v>
      </c>
    </row>
    <row r="201" customFormat="false" ht="15" hidden="false" customHeight="false" outlineLevel="0" collapsed="false">
      <c r="B201" s="30" t="n">
        <v>45757</v>
      </c>
      <c r="C201" s="25" t="n">
        <v>155.52</v>
      </c>
      <c r="D201" s="25" t="n">
        <v>32.86</v>
      </c>
      <c r="E201" s="25" t="n">
        <v>161.67</v>
      </c>
      <c r="F201" s="23" t="n">
        <f aca="false">IF(E201="","",IF(E201&lt;=Inputs!$C$12,Inputs!$C$14,IF(E201&gt;=Inputs!$C$13,Inputs!$C$15,Inputs!$C$11/E201))*C201)</f>
        <v>35.8329931341622</v>
      </c>
      <c r="G201" s="25" t="n">
        <v>32.703</v>
      </c>
      <c r="H201" s="23" t="n">
        <f aca="false">IF(OR(G201="",D201=""),"",G201-D201)</f>
        <v>-0.156999999999996</v>
      </c>
      <c r="I201" s="31" t="n">
        <f aca="false">IF(H201="","",(D201-Inputs!$C$8)/(G201-Inputs!$C$8))</f>
        <v>1.03826468437728</v>
      </c>
      <c r="J201" s="32" t="n">
        <f aca="false">IF(C201&lt;=Inputs!$C$12,1,0)</f>
        <v>0</v>
      </c>
    </row>
    <row r="202" customFormat="false" ht="15" hidden="false" customHeight="false" outlineLevel="0" collapsed="false">
      <c r="B202" s="30" t="n">
        <v>45758</v>
      </c>
      <c r="C202" s="25" t="n">
        <v>156.84</v>
      </c>
      <c r="D202" s="25" t="n">
        <v>32.81</v>
      </c>
      <c r="E202" s="25" t="n">
        <v>160.214</v>
      </c>
      <c r="F202" s="23" t="n">
        <f aca="false">IF(E202="","",IF(E202&lt;=Inputs!$C$12,Inputs!$C$14,IF(E202&gt;=Inputs!$C$13,Inputs!$C$15,Inputs!$C$11/E202))*C202)</f>
        <v>36.4655398404634</v>
      </c>
      <c r="G202" s="25" t="n">
        <v>32.758</v>
      </c>
      <c r="H202" s="23" t="n">
        <f aca="false">IF(OR(G202="",D202=""),"",G202-D202)</f>
        <v>-0.0519999999999996</v>
      </c>
      <c r="I202" s="31" t="n">
        <f aca="false">IF(H202="","",(D202-Inputs!$C$8)/(G202-Inputs!$C$8))</f>
        <v>1.01250601250601</v>
      </c>
      <c r="J202" s="32" t="n">
        <f aca="false">IF(C202&lt;=Inputs!$C$12,1,0)</f>
        <v>0</v>
      </c>
    </row>
    <row r="203" customFormat="false" ht="15" hidden="false" customHeight="false" outlineLevel="0" collapsed="false">
      <c r="B203" s="30" t="n">
        <v>45761</v>
      </c>
      <c r="C203" s="25" t="n">
        <v>159.28</v>
      </c>
      <c r="D203" s="25" t="n">
        <v>32.91</v>
      </c>
      <c r="E203" s="25" t="n">
        <v>159.551</v>
      </c>
      <c r="F203" s="23" t="n">
        <f aca="false">IF(E203="","",IF(E203&lt;=Inputs!$C$12,Inputs!$C$14,IF(E203&gt;=Inputs!$C$13,Inputs!$C$15,Inputs!$C$11/E203))*C203)</f>
        <v>37.1867302617972</v>
      </c>
      <c r="G203" s="25" t="n">
        <v>33.621</v>
      </c>
      <c r="H203" s="23" t="n">
        <f aca="false">IF(OR(G203="",D203=""),"",G203-D203)</f>
        <v>0.711000000000006</v>
      </c>
      <c r="I203" s="31" t="n">
        <f aca="false">IF(H203="","",(D203-Inputs!$C$8)/(G203-Inputs!$C$8))</f>
        <v>0.858394742083249</v>
      </c>
      <c r="J203" s="32" t="n">
        <f aca="false">IF(C203&lt;=Inputs!$C$12,1,0)</f>
        <v>0</v>
      </c>
    </row>
    <row r="204" customFormat="false" ht="15" hidden="false" customHeight="false" outlineLevel="0" collapsed="false">
      <c r="B204" s="30" t="n">
        <v>45762</v>
      </c>
      <c r="C204" s="25" t="n">
        <v>155.52</v>
      </c>
      <c r="D204" s="25" t="n">
        <v>33.15</v>
      </c>
      <c r="E204" s="25" t="n">
        <v>156.48</v>
      </c>
      <c r="F204" s="23" t="n">
        <f aca="false">IF(E204="","",IF(E204&lt;=Inputs!$C$12,Inputs!$C$14,IF(E204&gt;=Inputs!$C$13,Inputs!$C$15,Inputs!$C$11/E204))*C204)</f>
        <v>37.021472392638</v>
      </c>
      <c r="G204" s="25" t="n">
        <v>33.404</v>
      </c>
      <c r="H204" s="23" t="n">
        <f aca="false">IF(OR(G204="",D204=""),"",G204-D204)</f>
        <v>0.254000000000005</v>
      </c>
      <c r="I204" s="31" t="n">
        <f aca="false">IF(H204="","",(D204-Inputs!$C$8)/(G204-Inputs!$C$8))</f>
        <v>0.947127393838467</v>
      </c>
      <c r="J204" s="32" t="n">
        <f aca="false">IF(C204&lt;=Inputs!$C$12,1,0)</f>
        <v>0</v>
      </c>
    </row>
    <row r="205" customFormat="false" ht="15" hidden="false" customHeight="false" outlineLevel="0" collapsed="false">
      <c r="B205" s="30" t="n">
        <v>45763</v>
      </c>
      <c r="C205" s="25" t="n">
        <v>156.47</v>
      </c>
      <c r="D205" s="25" t="n">
        <v>33.23</v>
      </c>
      <c r="E205" s="25" t="n">
        <v>155.1</v>
      </c>
      <c r="F205" s="23" t="n">
        <f aca="false">IF(E205="","",IF(E205&lt;=Inputs!$C$12,Inputs!$C$14,IF(E205&gt;=Inputs!$C$13,Inputs!$C$15,Inputs!$C$11/E205))*C205)</f>
        <v>37.579029658285</v>
      </c>
      <c r="G205" s="25" t="n">
        <v>33.411</v>
      </c>
      <c r="H205" s="23" t="n">
        <f aca="false">IF(OR(G205="",D205=""),"",G205-D205)</f>
        <v>0.181000000000005</v>
      </c>
      <c r="I205" s="31" t="n">
        <f aca="false">IF(H205="","",(D205-Inputs!$C$8)/(G205-Inputs!$C$8))</f>
        <v>0.962377884015796</v>
      </c>
      <c r="J205" s="32" t="n">
        <f aca="false">IF(C205&lt;=Inputs!$C$12,1,0)</f>
        <v>0</v>
      </c>
    </row>
    <row r="206" customFormat="false" ht="15" hidden="false" customHeight="false" outlineLevel="0" collapsed="false">
      <c r="B206" s="30" t="n">
        <v>45764</v>
      </c>
      <c r="C206" s="25" t="n">
        <v>161.9</v>
      </c>
      <c r="D206" s="25" t="n">
        <v>33.47</v>
      </c>
      <c r="E206" s="25" t="n">
        <v>154.087</v>
      </c>
      <c r="F206" s="23" t="n">
        <f aca="false">IF(E206="","",IF(E206&lt;=Inputs!$C$12,Inputs!$C$14,IF(E206&gt;=Inputs!$C$13,Inputs!$C$15,Inputs!$C$11/E206))*C206)</f>
        <v>39.1387657621993</v>
      </c>
      <c r="G206" s="25" t="n">
        <v>34.186</v>
      </c>
      <c r="H206" s="23" t="n">
        <f aca="false">IF(OR(G206="",D206=""),"",G206-D206)</f>
        <v>0.716000000000001</v>
      </c>
      <c r="I206" s="31" t="n">
        <f aca="false">IF(H206="","",(D206-Inputs!$C$8)/(G206-Inputs!$C$8))</f>
        <v>0.871822413175797</v>
      </c>
      <c r="J206" s="32" t="n">
        <f aca="false">IF(C206&lt;=Inputs!$C$12,1,0)</f>
        <v>0</v>
      </c>
    </row>
    <row r="207" customFormat="false" ht="15" hidden="false" customHeight="false" outlineLevel="0" collapsed="false">
      <c r="B207" s="30" t="n">
        <v>45768</v>
      </c>
      <c r="C207" s="25" t="n">
        <v>159.34</v>
      </c>
      <c r="D207" s="25" t="n">
        <v>33.29</v>
      </c>
      <c r="E207" s="25" t="n">
        <v>153.155</v>
      </c>
      <c r="F207" s="23" t="n">
        <f aca="false">IF(E207="","",IF(E207&lt;=Inputs!$C$12,Inputs!$C$14,IF(E207&gt;=Inputs!$C$13,Inputs!$C$15,Inputs!$C$11/E207))*C207)</f>
        <v>38.7543011981326</v>
      </c>
      <c r="G207" s="25" t="n">
        <v>33.755</v>
      </c>
      <c r="H207" s="23" t="n">
        <f aca="false">IF(OR(G207="",D207=""),"",G207-D207)</f>
        <v>0.465000000000003</v>
      </c>
      <c r="I207" s="31" t="n">
        <f aca="false">IF(H207="","",(D207-Inputs!$C$8)/(G207-Inputs!$C$8))</f>
        <v>0.909796314258001</v>
      </c>
      <c r="J207" s="32" t="n">
        <f aca="false">IF(C207&lt;=Inputs!$C$12,1,0)</f>
        <v>0</v>
      </c>
    </row>
    <row r="208" customFormat="false" ht="15" hidden="false" customHeight="false" outlineLevel="0" collapsed="false">
      <c r="B208" s="30" t="n">
        <v>45769</v>
      </c>
      <c r="C208" s="25" t="n">
        <v>162.52</v>
      </c>
      <c r="D208" s="25" t="n">
        <v>33.94</v>
      </c>
      <c r="E208" s="25" t="n">
        <v>152.831</v>
      </c>
      <c r="F208" s="23" t="n">
        <f aca="false">IF(E208="","",IF(E208&lt;=Inputs!$C$12,Inputs!$C$14,IF(E208&gt;=Inputs!$C$13,Inputs!$C$15,Inputs!$C$11/E208))*C208)</f>
        <v>39.6115316918688</v>
      </c>
      <c r="G208" s="25" t="n">
        <v>34.307</v>
      </c>
      <c r="H208" s="23" t="n">
        <f aca="false">IF(OR(G208="",D208=""),"",G208-D208)</f>
        <v>0.367000000000004</v>
      </c>
      <c r="I208" s="31" t="n">
        <f aca="false">IF(H208="","",(D208-Inputs!$C$8)/(G208-Inputs!$C$8))</f>
        <v>0.935693008585946</v>
      </c>
      <c r="J208" s="32" t="n">
        <f aca="false">IF(C208&lt;=Inputs!$C$12,1,0)</f>
        <v>0</v>
      </c>
    </row>
    <row r="209" customFormat="false" ht="15" hidden="false" customHeight="false" outlineLevel="0" collapsed="false">
      <c r="B209" s="30" t="n">
        <v>45770</v>
      </c>
      <c r="C209" s="25" t="n">
        <v>172.37</v>
      </c>
      <c r="D209" s="25" t="n">
        <v>34.88</v>
      </c>
      <c r="E209" s="25" t="n">
        <v>151.964</v>
      </c>
      <c r="F209" s="23" t="n">
        <f aca="false">IF(E209="","",IF(E209&lt;=Inputs!$C$12,Inputs!$C$14,IF(E209&gt;=Inputs!$C$13,Inputs!$C$15,Inputs!$C$11/E209))*C209)</f>
        <v>42.2519971835435</v>
      </c>
      <c r="G209" s="25" t="n">
        <v>35.613</v>
      </c>
      <c r="H209" s="23" t="n">
        <f aca="false">IF(OR(G209="",D209=""),"",G209-D209)</f>
        <v>0.732999999999997</v>
      </c>
      <c r="I209" s="31" t="n">
        <f aca="false">IF(H209="","",(D209-Inputs!$C$8)/(G209-Inputs!$C$8))</f>
        <v>0.895479823185513</v>
      </c>
      <c r="J209" s="32" t="n">
        <f aca="false">IF(C209&lt;=Inputs!$C$12,1,0)</f>
        <v>0</v>
      </c>
    </row>
    <row r="210" customFormat="false" ht="15" hidden="false" customHeight="false" outlineLevel="0" collapsed="false">
      <c r="B210" s="30" t="n">
        <v>45771</v>
      </c>
      <c r="C210" s="25" t="n">
        <v>176.26</v>
      </c>
      <c r="D210" s="25" t="n">
        <v>34.81</v>
      </c>
      <c r="E210" s="25" t="n">
        <v>151.685</v>
      </c>
      <c r="F210" s="23" t="n">
        <f aca="false">IF(E210="","",IF(E210&lt;=Inputs!$C$12,Inputs!$C$14,IF(E210&gt;=Inputs!$C$13,Inputs!$C$15,Inputs!$C$11/E210))*C210)</f>
        <v>43.2849985166628</v>
      </c>
      <c r="G210" s="25" t="n">
        <v>36.04</v>
      </c>
      <c r="H210" s="23" t="n">
        <f aca="false">IF(OR(G210="",D210=""),"",G210-D210)</f>
        <v>1.23</v>
      </c>
      <c r="I210" s="31" t="n">
        <f aca="false">IF(H210="","",(D210-Inputs!$C$8)/(G210-Inputs!$C$8))</f>
        <v>0.834677419354839</v>
      </c>
      <c r="J210" s="32" t="n">
        <f aca="false">IF(C210&lt;=Inputs!$C$12,1,0)</f>
        <v>0</v>
      </c>
    </row>
    <row r="211" customFormat="false" ht="15" hidden="false" customHeight="false" outlineLevel="0" collapsed="false">
      <c r="B211" s="30" t="n">
        <v>45772</v>
      </c>
      <c r="C211" s="25" t="n">
        <v>177.95</v>
      </c>
      <c r="D211" s="25" t="n">
        <v>34.89</v>
      </c>
      <c r="E211" s="25" t="n">
        <v>152.874</v>
      </c>
      <c r="F211" s="23" t="n">
        <f aca="false">IF(E211="","",IF(E211&lt;=Inputs!$C$12,Inputs!$C$14,IF(E211&gt;=Inputs!$C$13,Inputs!$C$15,Inputs!$C$11/E211))*C211)</f>
        <v>43.3601364522417</v>
      </c>
      <c r="G211" s="25" t="n">
        <v>36.254</v>
      </c>
      <c r="H211" s="23" t="n">
        <f aca="false">IF(OR(G211="",D211=""),"",G211-D211)</f>
        <v>1.364</v>
      </c>
      <c r="I211" s="31" t="n">
        <f aca="false">IF(H211="","",(D211-Inputs!$C$8)/(G211-Inputs!$C$8))</f>
        <v>0.821792526783382</v>
      </c>
      <c r="J211" s="32" t="n">
        <f aca="false">IF(C211&lt;=Inputs!$C$12,1,0)</f>
        <v>0</v>
      </c>
    </row>
    <row r="212" customFormat="false" ht="15" hidden="false" customHeight="false" outlineLevel="0" collapsed="false">
      <c r="B212" s="30" t="n">
        <v>45775</v>
      </c>
      <c r="C212" s="25" t="n">
        <v>182.3</v>
      </c>
      <c r="D212" s="25" t="n">
        <v>35.8</v>
      </c>
      <c r="E212" s="25" t="n">
        <v>153.662</v>
      </c>
      <c r="F212" s="23" t="n">
        <f aca="false">IF(E212="","",IF(E212&lt;=Inputs!$C$12,Inputs!$C$14,IF(E212&gt;=Inputs!$C$13,Inputs!$C$15,Inputs!$C$11/E212))*C212)</f>
        <v>44.1922856659421</v>
      </c>
      <c r="G212" s="25" t="n">
        <v>36.719</v>
      </c>
      <c r="H212" s="23" t="n">
        <f aca="false">IF(OR(G212="",D212=""),"",G212-D212)</f>
        <v>0.919000000000004</v>
      </c>
      <c r="I212" s="31" t="n">
        <f aca="false">IF(H212="","",(D212-Inputs!$C$8)/(G212-Inputs!$C$8))</f>
        <v>0.886808720285749</v>
      </c>
      <c r="J212" s="32" t="n">
        <f aca="false">IF(C212&lt;=Inputs!$C$12,1,0)</f>
        <v>0</v>
      </c>
    </row>
    <row r="213" customFormat="false" ht="15" hidden="false" customHeight="false" outlineLevel="0" collapsed="false">
      <c r="B213" s="30" t="n">
        <v>45776</v>
      </c>
      <c r="C213" s="25" t="n">
        <v>182</v>
      </c>
      <c r="D213" s="25" t="n">
        <v>35.99</v>
      </c>
      <c r="E213" s="25" t="n">
        <v>154.703</v>
      </c>
      <c r="F213" s="23" t="n">
        <f aca="false">IF(E213="","",IF(E213&lt;=Inputs!$C$12,Inputs!$C$14,IF(E213&gt;=Inputs!$C$13,Inputs!$C$15,Inputs!$C$11/E213))*C213)</f>
        <v>43.8226795860455</v>
      </c>
      <c r="G213" s="25" t="n">
        <v>36.706</v>
      </c>
      <c r="H213" s="23" t="n">
        <f aca="false">IF(OR(G213="",D213=""),"",G213-D213)</f>
        <v>0.716000000000001</v>
      </c>
      <c r="I213" s="31" t="n">
        <f aca="false">IF(H213="","",(D213-Inputs!$C$8)/(G213-Inputs!$C$8))</f>
        <v>0.911670367628917</v>
      </c>
      <c r="J213" s="32" t="n">
        <f aca="false">IF(C213&lt;=Inputs!$C$12,1,0)</f>
        <v>0</v>
      </c>
    </row>
    <row r="214" customFormat="false" ht="15" hidden="false" customHeight="false" outlineLevel="0" collapsed="false">
      <c r="B214" s="30" t="n">
        <v>45777</v>
      </c>
      <c r="C214" s="25" t="n">
        <v>183.24</v>
      </c>
      <c r="D214" s="25" t="n">
        <v>36</v>
      </c>
      <c r="E214" s="25" t="n">
        <v>158.506</v>
      </c>
      <c r="F214" s="23" t="n">
        <f aca="false">IF(E214="","",IF(E214&lt;=Inputs!$C$12,Inputs!$C$14,IF(E214&gt;=Inputs!$C$13,Inputs!$C$15,Inputs!$C$11/E214))*C214)</f>
        <v>43.0626600885771</v>
      </c>
      <c r="G214" s="25" t="n">
        <v>36.807</v>
      </c>
      <c r="H214" s="23" t="n">
        <f aca="false">IF(OR(G214="",D214=""),"",G214-D214)</f>
        <v>0.807000000000002</v>
      </c>
      <c r="I214" s="31" t="n">
        <f aca="false">IF(H214="","",(D214-Inputs!$C$8)/(G214-Inputs!$C$8))</f>
        <v>0.901669306689411</v>
      </c>
      <c r="J214" s="32" t="n">
        <f aca="false">IF(C214&lt;=Inputs!$C$12,1,0)</f>
        <v>0</v>
      </c>
    </row>
    <row r="215" customFormat="false" ht="15" hidden="false" customHeight="false" outlineLevel="0" collapsed="false">
      <c r="B215" s="30" t="n">
        <v>45778</v>
      </c>
      <c r="C215" s="25" t="n">
        <v>182.89</v>
      </c>
      <c r="D215" s="25" t="n">
        <v>35.97</v>
      </c>
      <c r="E215" s="25" t="n">
        <v>162.231</v>
      </c>
      <c r="F215" s="23" t="n">
        <f aca="false">IF(E215="","",IF(E215&lt;=Inputs!$C$12,Inputs!$C$14,IF(E215&gt;=Inputs!$C$13,Inputs!$C$15,Inputs!$C$11/E215))*C215)</f>
        <v>41.9935308294962</v>
      </c>
      <c r="G215" s="25" t="n">
        <v>36.783</v>
      </c>
      <c r="H215" s="23" t="n">
        <f aca="false">IF(OR(G215="",D215=""),"",G215-D215)</f>
        <v>0.813000000000002</v>
      </c>
      <c r="I215" s="31" t="n">
        <f aca="false">IF(H215="","",(D215-Inputs!$C$8)/(G215-Inputs!$C$8))</f>
        <v>0.90064768422339</v>
      </c>
      <c r="J215" s="32" t="n">
        <f aca="false">IF(C215&lt;=Inputs!$C$12,1,0)</f>
        <v>0</v>
      </c>
    </row>
    <row r="216" customFormat="false" ht="15" hidden="false" customHeight="false" outlineLevel="0" collapsed="false">
      <c r="B216" s="30" t="n">
        <v>45779</v>
      </c>
      <c r="C216" s="25" t="n">
        <v>185.46</v>
      </c>
      <c r="D216" s="25" t="n">
        <v>35.95</v>
      </c>
      <c r="E216" s="25" t="n">
        <v>165.183</v>
      </c>
      <c r="F216" s="23" t="n">
        <f aca="false">IF(E216="","",IF(E216&lt;=Inputs!$C$12,Inputs!$C$14,IF(E216&gt;=Inputs!$C$13,Inputs!$C$15,Inputs!$C$11/E216))*C216)</f>
        <v>41.822614918</v>
      </c>
      <c r="G216" s="25" t="n">
        <v>37.051</v>
      </c>
      <c r="H216" s="23" t="n">
        <f aca="false">IF(OR(G216="",D216=""),"",G216-D216)</f>
        <v>1.101</v>
      </c>
      <c r="I216" s="31" t="n">
        <f aca="false">IF(H216="","",(D216-Inputs!$C$8)/(G216-Inputs!$C$8))</f>
        <v>0.869719559815407</v>
      </c>
      <c r="J216" s="32" t="n">
        <f aca="false">IF(C216&lt;=Inputs!$C$12,1,0)</f>
        <v>0</v>
      </c>
    </row>
    <row r="217" customFormat="false" ht="15" hidden="false" customHeight="false" outlineLevel="0" collapsed="false">
      <c r="B217" s="30" t="n">
        <v>45782</v>
      </c>
      <c r="C217" s="25" t="n">
        <v>186.46</v>
      </c>
      <c r="D217" s="25" t="n">
        <v>35.85</v>
      </c>
      <c r="E217" s="25" t="n">
        <v>167.612</v>
      </c>
      <c r="F217" s="23" t="n">
        <f aca="false">IF(E217="","",IF(E217&lt;=Inputs!$C$12,Inputs!$C$14,IF(E217&gt;=Inputs!$C$13,Inputs!$C$15,Inputs!$C$11/E217))*C217)</f>
        <v>41.4387693005274</v>
      </c>
      <c r="G217" s="25" t="n">
        <v>37.166</v>
      </c>
      <c r="H217" s="23" t="n">
        <f aca="false">IF(OR(G217="",D217=""),"",G217-D217)</f>
        <v>1.316</v>
      </c>
      <c r="I217" s="31" t="n">
        <f aca="false">IF(H217="","",(D217-Inputs!$C$8)/(G217-Inputs!$C$8))</f>
        <v>0.846369367265936</v>
      </c>
      <c r="J217" s="32" t="n">
        <f aca="false">IF(C217&lt;=Inputs!$C$12,1,0)</f>
        <v>0</v>
      </c>
    </row>
    <row r="218" customFormat="false" ht="15" hidden="false" customHeight="false" outlineLevel="0" collapsed="false">
      <c r="B218" s="30" t="n">
        <v>45783</v>
      </c>
      <c r="C218" s="25" t="n">
        <v>185.96</v>
      </c>
      <c r="D218" s="25" t="n">
        <v>35.78</v>
      </c>
      <c r="E218" s="25" t="n">
        <v>169.87</v>
      </c>
      <c r="F218" s="23" t="n">
        <f aca="false">IF(E218="","",IF(E218&lt;=Inputs!$C$12,Inputs!$C$14,IF(E218&gt;=Inputs!$C$13,Inputs!$C$15,Inputs!$C$11/E218))*C218)</f>
        <v>40.778301053747</v>
      </c>
      <c r="G218" s="25" t="n">
        <v>37.103</v>
      </c>
      <c r="H218" s="23" t="n">
        <f aca="false">IF(OR(G218="",D218=""),"",G218-D218)</f>
        <v>1.323</v>
      </c>
      <c r="I218" s="31" t="n">
        <f aca="false">IF(H218="","",(D218-Inputs!$C$8)/(G218-Inputs!$C$8))</f>
        <v>0.844407856050806</v>
      </c>
      <c r="J218" s="32" t="n">
        <f aca="false">IF(C218&lt;=Inputs!$C$12,1,0)</f>
        <v>0</v>
      </c>
    </row>
    <row r="219" customFormat="false" ht="15" hidden="false" customHeight="false" outlineLevel="0" collapsed="false">
      <c r="B219" s="30" t="n">
        <v>45784</v>
      </c>
      <c r="C219" s="25" t="n">
        <v>185.56</v>
      </c>
      <c r="D219" s="25" t="n">
        <v>35.87</v>
      </c>
      <c r="E219" s="25" t="n">
        <v>171.544</v>
      </c>
      <c r="F219" s="23" t="n">
        <f aca="false">IF(E219="","",IF(E219&lt;=Inputs!$C$12,Inputs!$C$14,IF(E219&gt;=Inputs!$C$13,Inputs!$C$15,Inputs!$C$11/E219))*C219)</f>
        <v>40.2935107027935</v>
      </c>
      <c r="G219" s="25" t="n">
        <v>37.045</v>
      </c>
      <c r="H219" s="23" t="n">
        <f aca="false">IF(OR(G219="",D219=""),"",G219-D219)</f>
        <v>1.175</v>
      </c>
      <c r="I219" s="31" t="n">
        <f aca="false">IF(H219="","",(D219-Inputs!$C$8)/(G219-Inputs!$C$8))</f>
        <v>0.860864416814683</v>
      </c>
      <c r="J219" s="32" t="n">
        <f aca="false">IF(C219&lt;=Inputs!$C$12,1,0)</f>
        <v>0</v>
      </c>
    </row>
    <row r="220" customFormat="false" ht="15" hidden="false" customHeight="false" outlineLevel="0" collapsed="false">
      <c r="B220" s="30" t="n">
        <v>45785</v>
      </c>
      <c r="C220" s="25" t="n">
        <v>191.7</v>
      </c>
      <c r="D220" s="25" t="n">
        <v>36.46</v>
      </c>
      <c r="E220" s="25" t="n">
        <v>172.761</v>
      </c>
      <c r="F220" s="23" t="n">
        <f aca="false">IF(E220="","",IF(E220&lt;=Inputs!$C$12,Inputs!$C$14,IF(E220&gt;=Inputs!$C$13,Inputs!$C$15,Inputs!$C$11/E220))*C220)</f>
        <v>41.3335475020404</v>
      </c>
      <c r="G220" s="25" t="n">
        <v>37.716</v>
      </c>
      <c r="H220" s="23" t="n">
        <f aca="false">IF(OR(G220="",D220=""),"",G220-D220)</f>
        <v>1.256</v>
      </c>
      <c r="I220" s="31" t="n">
        <f aca="false">IF(H220="","",(D220-Inputs!$C$8)/(G220-Inputs!$C$8))</f>
        <v>0.862220272049144</v>
      </c>
      <c r="J220" s="32" t="n">
        <f aca="false">IF(C220&lt;=Inputs!$C$12,1,0)</f>
        <v>0</v>
      </c>
    </row>
    <row r="221" customFormat="false" ht="15" hidden="false" customHeight="false" outlineLevel="0" collapsed="false">
      <c r="B221" s="30" t="n">
        <v>45786</v>
      </c>
      <c r="C221" s="25" t="n">
        <v>194.85</v>
      </c>
      <c r="D221" s="25" t="n">
        <v>36.7</v>
      </c>
      <c r="E221" s="25" t="n">
        <v>174.935</v>
      </c>
      <c r="F221" s="23" t="n">
        <f aca="false">IF(E221="","",IF(E221&lt;=Inputs!$C$12,Inputs!$C$14,IF(E221&gt;=Inputs!$C$13,Inputs!$C$15,Inputs!$C$11/E221))*C221)</f>
        <v>41.4906250893189</v>
      </c>
      <c r="G221" s="25" t="n">
        <v>38.061</v>
      </c>
      <c r="H221" s="23" t="n">
        <f aca="false">IF(OR(G221="",D221=""),"",G221-D221)</f>
        <v>1.361</v>
      </c>
      <c r="I221" s="31" t="n">
        <f aca="false">IF(H221="","",(D221-Inputs!$C$8)/(G221-Inputs!$C$8))</f>
        <v>0.856146284747913</v>
      </c>
      <c r="J221" s="32" t="n">
        <f aca="false">IF(C221&lt;=Inputs!$C$12,1,0)</f>
        <v>0</v>
      </c>
    </row>
    <row r="222" customFormat="false" ht="15" hidden="false" customHeight="false" outlineLevel="0" collapsed="false">
      <c r="B222" s="30" t="n">
        <v>45789</v>
      </c>
      <c r="C222" s="25" t="n">
        <v>198.53</v>
      </c>
      <c r="D222" s="25" t="n">
        <v>36.89</v>
      </c>
      <c r="E222" s="25" t="n">
        <v>177.835</v>
      </c>
      <c r="F222" s="23" t="n">
        <f aca="false">IF(E222="","",IF(E222&lt;=Inputs!$C$12,Inputs!$C$14,IF(E222&gt;=Inputs!$C$13,Inputs!$C$15,Inputs!$C$11/E222))*C222)</f>
        <v>41.5848539376388</v>
      </c>
      <c r="G222" s="25" t="n">
        <v>38.346</v>
      </c>
      <c r="H222" s="23" t="n">
        <f aca="false">IF(OR(G222="",D222=""),"",G222-D222)</f>
        <v>1.456</v>
      </c>
      <c r="I222" s="31" t="n">
        <f aca="false">IF(H222="","",(D222-Inputs!$C$8)/(G222-Inputs!$C$8))</f>
        <v>0.850605376564745</v>
      </c>
      <c r="J222" s="32" t="n">
        <f aca="false">IF(C222&lt;=Inputs!$C$12,1,0)</f>
        <v>0</v>
      </c>
    </row>
    <row r="223" customFormat="false" ht="15" hidden="false" customHeight="false" outlineLevel="0" collapsed="false">
      <c r="B223" s="30" t="n">
        <v>45790</v>
      </c>
      <c r="C223" s="25" t="n">
        <v>203.42</v>
      </c>
      <c r="D223" s="25" t="n">
        <v>37.3</v>
      </c>
      <c r="E223" s="25" t="n">
        <v>180.036</v>
      </c>
      <c r="F223" s="23" t="n">
        <f aca="false">IF(E223="","",IF(E223&lt;=Inputs!$C$12,Inputs!$C$14,IF(E223&gt;=Inputs!$C$13,Inputs!$C$15,Inputs!$C$11/E223))*C223)</f>
        <v>42.08822124464</v>
      </c>
      <c r="G223" s="25" t="n">
        <v>38.983</v>
      </c>
      <c r="H223" s="23" t="n">
        <f aca="false">IF(OR(G223="",D223=""),"",G223-D223)</f>
        <v>1.683</v>
      </c>
      <c r="I223" s="31" t="n">
        <f aca="false">IF(H223="","",(D223-Inputs!$C$8)/(G223-Inputs!$C$8))</f>
        <v>0.83790811904074</v>
      </c>
      <c r="J223" s="32" t="n">
        <f aca="false">IF(C223&lt;=Inputs!$C$12,1,0)</f>
        <v>0</v>
      </c>
    </row>
    <row r="224" customFormat="false" ht="15" hidden="false" customHeight="false" outlineLevel="0" collapsed="false">
      <c r="B224" s="30" t="n">
        <v>45791</v>
      </c>
      <c r="C224" s="25" t="n">
        <v>204.72</v>
      </c>
      <c r="D224" s="25" t="n">
        <v>37.11</v>
      </c>
      <c r="E224" s="25" t="n">
        <v>182.159</v>
      </c>
      <c r="F224" s="23" t="n">
        <f aca="false">IF(E224="","",IF(E224&lt;=Inputs!$C$12,Inputs!$C$14,IF(E224&gt;=Inputs!$C$13,Inputs!$C$15,Inputs!$C$11/E224))*C224)</f>
        <v>41.8635368002679</v>
      </c>
      <c r="G224" s="25" t="n">
        <v>39.279</v>
      </c>
      <c r="H224" s="23" t="n">
        <f aca="false">IF(OR(G224="",D224=""),"",G224-D224)</f>
        <v>2.169</v>
      </c>
      <c r="I224" s="31" t="n">
        <f aca="false">IF(H224="","",(D224-Inputs!$C$8)/(G224-Inputs!$C$8))</f>
        <v>0.796891094671785</v>
      </c>
      <c r="J224" s="32" t="n">
        <f aca="false">IF(C224&lt;=Inputs!$C$12,1,0)</f>
        <v>0</v>
      </c>
    </row>
    <row r="225" customFormat="false" ht="15" hidden="false" customHeight="false" outlineLevel="0" collapsed="false">
      <c r="B225" s="30" t="n">
        <v>45792</v>
      </c>
      <c r="C225" s="25" t="n">
        <v>206.24</v>
      </c>
      <c r="D225" s="25" t="n">
        <v>37.45</v>
      </c>
      <c r="E225" s="25" t="n">
        <v>185.632</v>
      </c>
      <c r="F225" s="23" t="n">
        <f aca="false">IF(E225="","",IF(E225&lt;=Inputs!$C$12,Inputs!$C$14,IF(E225&gt;=Inputs!$C$13,Inputs!$C$15,Inputs!$C$11/E225))*C225)</f>
        <v>41.3853214962937</v>
      </c>
      <c r="G225" s="25" t="n">
        <v>39.414</v>
      </c>
      <c r="H225" s="23" t="n">
        <f aca="false">IF(OR(G225="",D225=""),"",G225-D225)</f>
        <v>1.964</v>
      </c>
      <c r="I225" s="31" t="n">
        <f aca="false">IF(H225="","",(D225-Inputs!$C$8)/(G225-Inputs!$C$8))</f>
        <v>0.818383576844831</v>
      </c>
      <c r="J225" s="32" t="n">
        <f aca="false">IF(C225&lt;=Inputs!$C$12,1,0)</f>
        <v>0</v>
      </c>
    </row>
    <row r="226" customFormat="false" ht="15" hidden="false" customHeight="false" outlineLevel="0" collapsed="false">
      <c r="B226" s="30" t="n">
        <v>45793</v>
      </c>
      <c r="C226" s="25" t="n">
        <v>205.82</v>
      </c>
      <c r="D226" s="25" t="n">
        <v>37.82</v>
      </c>
      <c r="E226" s="25" t="n">
        <v>189.687</v>
      </c>
      <c r="F226" s="23" t="n">
        <f aca="false">IF(E226="","",IF(E226&lt;=Inputs!$C$12,Inputs!$C$14,IF(E226&gt;=Inputs!$C$13,Inputs!$C$15,Inputs!$C$11/E226))*C226)</f>
        <v>40.4181361927807</v>
      </c>
      <c r="G226" s="25" t="n">
        <v>39.261</v>
      </c>
      <c r="H226" s="23" t="n">
        <f aca="false">IF(OR(G226="",D226=""),"",G226-D226)</f>
        <v>1.441</v>
      </c>
      <c r="I226" s="31" t="n">
        <f aca="false">IF(H226="","",(D226-Inputs!$C$8)/(G226-Inputs!$C$8))</f>
        <v>0.864834443298002</v>
      </c>
      <c r="J226" s="32" t="n">
        <f aca="false">IF(C226&lt;=Inputs!$C$12,1,0)</f>
        <v>0</v>
      </c>
    </row>
    <row r="227" customFormat="false" ht="15" hidden="false" customHeight="false" outlineLevel="0" collapsed="false">
      <c r="B227" s="30" t="n">
        <v>45796</v>
      </c>
      <c r="C227" s="25" t="n">
        <v>205.25</v>
      </c>
      <c r="D227" s="25" t="n">
        <v>37.6</v>
      </c>
      <c r="E227" s="25" t="n">
        <v>192.161</v>
      </c>
      <c r="F227" s="23" t="n">
        <f aca="false">IF(E227="","",IF(E227&lt;=Inputs!$C$12,Inputs!$C$14,IF(E227&gt;=Inputs!$C$13,Inputs!$C$15,Inputs!$C$11/E227))*C227)</f>
        <v>39.7872747331665</v>
      </c>
      <c r="G227" s="25" t="n">
        <v>39.187</v>
      </c>
      <c r="H227" s="23" t="n">
        <f aca="false">IF(OR(G227="",D227=""),"",G227-D227)</f>
        <v>1.587</v>
      </c>
      <c r="I227" s="31" t="n">
        <f aca="false">IF(H227="","",(D227-Inputs!$C$8)/(G227-Inputs!$C$8))</f>
        <v>0.850099178237461</v>
      </c>
      <c r="J227" s="32" t="n">
        <f aca="false">IF(C227&lt;=Inputs!$C$12,1,0)</f>
        <v>0</v>
      </c>
    </row>
    <row r="228" customFormat="false" ht="15" hidden="false" customHeight="false" outlineLevel="0" collapsed="false">
      <c r="B228" s="30" t="n">
        <v>45797</v>
      </c>
      <c r="C228" s="25" t="n">
        <v>207.67</v>
      </c>
      <c r="D228" s="25" t="n">
        <v>37.66</v>
      </c>
      <c r="E228" s="25" t="n">
        <v>193.762</v>
      </c>
      <c r="F228" s="23" t="n">
        <f aca="false">IF(E228="","",IF(E228&lt;=Inputs!$C$12,Inputs!$C$14,IF(E228&gt;=Inputs!$C$13,Inputs!$C$15,Inputs!$C$11/E228))*C228)</f>
        <v>39.9237595606982</v>
      </c>
      <c r="G228" s="25" t="n">
        <v>39.417</v>
      </c>
      <c r="H228" s="23" t="n">
        <f aca="false">IF(OR(G228="",D228=""),"",G228-D228)</f>
        <v>1.75700000000001</v>
      </c>
      <c r="I228" s="31" t="n">
        <f aca="false">IF(H228="","",(D228-Inputs!$C$8)/(G228-Inputs!$C$8))</f>
        <v>0.837570490893963</v>
      </c>
      <c r="J228" s="32" t="n">
        <f aca="false">IF(C228&lt;=Inputs!$C$12,1,0)</f>
        <v>0</v>
      </c>
    </row>
    <row r="229" customFormat="false" ht="15" hidden="false" customHeight="false" outlineLevel="0" collapsed="false">
      <c r="B229" s="30" t="n">
        <v>45798</v>
      </c>
      <c r="C229" s="25" t="n">
        <v>203.21</v>
      </c>
      <c r="D229" s="25" t="n">
        <v>37.05</v>
      </c>
      <c r="E229" s="25" t="n">
        <v>195.015</v>
      </c>
      <c r="F229" s="23" t="n">
        <f aca="false">IF(E229="","",IF(E229&lt;=Inputs!$C$12,Inputs!$C$14,IF(E229&gt;=Inputs!$C$13,Inputs!$C$15,Inputs!$C$11/E229))*C229)</f>
        <v>38.8153347178422</v>
      </c>
      <c r="G229" s="25" t="n">
        <v>39.017</v>
      </c>
      <c r="H229" s="23" t="n">
        <f aca="false">IF(OR(G229="",D229=""),"",G229-D229)</f>
        <v>1.96700000000001</v>
      </c>
      <c r="I229" s="31" t="n">
        <f aca="false">IF(H229="","",(D229-Inputs!$C$8)/(G229-Inputs!$C$8))</f>
        <v>0.811174042430642</v>
      </c>
      <c r="J229" s="32" t="n">
        <f aca="false">IF(C229&lt;=Inputs!$C$12,1,0)</f>
        <v>0</v>
      </c>
    </row>
    <row r="230" customFormat="false" ht="15" hidden="false" customHeight="false" outlineLevel="0" collapsed="false">
      <c r="B230" s="30" t="n">
        <v>45799</v>
      </c>
      <c r="C230" s="25" t="n">
        <v>203.41</v>
      </c>
      <c r="D230" s="25" t="n">
        <v>37.24</v>
      </c>
      <c r="E230" s="25" t="n">
        <v>196.205</v>
      </c>
      <c r="F230" s="23" t="n">
        <f aca="false">IF(E230="","",IF(E230&lt;=Inputs!$C$12,Inputs!$C$14,IF(E230&gt;=Inputs!$C$13,Inputs!$C$15,Inputs!$C$11/E230))*C230)</f>
        <v>38.6178869040035</v>
      </c>
      <c r="G230" s="25" t="n">
        <v>39.036</v>
      </c>
      <c r="H230" s="23" t="n">
        <f aca="false">IF(OR(G230="",D230=""),"",G230-D230)</f>
        <v>1.796</v>
      </c>
      <c r="I230" s="31" t="n">
        <f aca="false">IF(H230="","",(D230-Inputs!$C$8)/(G230-Inputs!$C$8))</f>
        <v>0.827903411268685</v>
      </c>
      <c r="J230" s="32" t="n">
        <f aca="false">IF(C230&lt;=Inputs!$C$12,1,0)</f>
        <v>0</v>
      </c>
    </row>
    <row r="231" customFormat="false" ht="15" hidden="false" customHeight="false" outlineLevel="0" collapsed="false">
      <c r="B231" s="30" t="n">
        <v>45800</v>
      </c>
      <c r="C231" s="25" t="n">
        <v>202.36</v>
      </c>
      <c r="D231" s="25" t="n">
        <v>37.12</v>
      </c>
      <c r="E231" s="25" t="n">
        <v>197.308</v>
      </c>
      <c r="F231" s="23" t="n">
        <f aca="false">IF(E231="","",IF(E231&lt;=Inputs!$C$12,Inputs!$C$14,IF(E231&gt;=Inputs!$C$13,Inputs!$C$15,Inputs!$C$11/E231))*C231)</f>
        <v>38.2037727816409</v>
      </c>
      <c r="G231" s="25" t="n">
        <v>38.889</v>
      </c>
      <c r="H231" s="23" t="n">
        <f aca="false">IF(OR(G231="",D231=""),"",G231-D231)</f>
        <v>1.76900000000001</v>
      </c>
      <c r="I231" s="31" t="n">
        <f aca="false">IF(H231="","",(D231-Inputs!$C$8)/(G231-Inputs!$C$8))</f>
        <v>0.828068811351929</v>
      </c>
      <c r="J231" s="32" t="n">
        <f aca="false">IF(C231&lt;=Inputs!$C$12,1,0)</f>
        <v>0</v>
      </c>
    </row>
    <row r="232" customFormat="false" ht="15" hidden="false" customHeight="false" outlineLevel="0" collapsed="false">
      <c r="B232" s="30" t="n">
        <v>45804</v>
      </c>
      <c r="C232" s="25" t="n">
        <v>201.03</v>
      </c>
      <c r="D232" s="25" t="n">
        <v>37.1</v>
      </c>
      <c r="E232" s="25" t="n">
        <v>198.286</v>
      </c>
      <c r="F232" s="23" t="n">
        <f aca="false">IF(E232="","",IF(E232&lt;=Inputs!$C$12,Inputs!$C$14,IF(E232&gt;=Inputs!$C$13,Inputs!$C$15,Inputs!$C$11/E232))*C232)</f>
        <v>37.7654877298448</v>
      </c>
      <c r="G232" s="25" t="n">
        <v>38.673</v>
      </c>
      <c r="H232" s="23" t="n">
        <f aca="false">IF(OR(G232="",D232=""),"",G232-D232)</f>
        <v>1.573</v>
      </c>
      <c r="I232" s="31" t="n">
        <f aca="false">IF(H232="","",(D232-Inputs!$C$8)/(G232-Inputs!$C$8))</f>
        <v>0.843839968231907</v>
      </c>
      <c r="J232" s="32" t="n">
        <f aca="false">IF(C232&lt;=Inputs!$C$12,1,0)</f>
        <v>0</v>
      </c>
    </row>
    <row r="233" customFormat="false" ht="15" hidden="false" customHeight="false" outlineLevel="0" collapsed="false">
      <c r="B233" s="30" t="n">
        <v>45805</v>
      </c>
      <c r="C233" s="25" t="n">
        <v>201.5</v>
      </c>
      <c r="D233" s="25" t="n">
        <v>37.32</v>
      </c>
      <c r="E233" s="25" t="n">
        <v>199.298</v>
      </c>
      <c r="F233" s="23" t="n">
        <f aca="false">IF(E233="","",IF(E233&lt;=Inputs!$C$12,Inputs!$C$14,IF(E233&gt;=Inputs!$C$13,Inputs!$C$15,Inputs!$C$11/E233))*C233)</f>
        <v>37.6615671005228</v>
      </c>
      <c r="G233" s="25" t="n">
        <v>38.767</v>
      </c>
      <c r="H233" s="23" t="n">
        <f aca="false">IF(OR(G233="",D233=""),"",G233-D233)</f>
        <v>1.447</v>
      </c>
      <c r="I233" s="31" t="n">
        <f aca="false">IF(H233="","",(D233-Inputs!$C$8)/(G233-Inputs!$C$8))</f>
        <v>0.85767679748205</v>
      </c>
      <c r="J233" s="32" t="n">
        <f aca="false">IF(C233&lt;=Inputs!$C$12,1,0)</f>
        <v>0</v>
      </c>
    </row>
    <row r="234" customFormat="false" ht="15" hidden="false" customHeight="false" outlineLevel="0" collapsed="false">
      <c r="B234" s="30" t="n">
        <v>45806</v>
      </c>
      <c r="C234" s="25" t="n">
        <v>208.18</v>
      </c>
      <c r="D234" s="25" t="n">
        <v>37.79</v>
      </c>
      <c r="E234" s="25" t="n">
        <v>200.01</v>
      </c>
      <c r="F234" s="23" t="n">
        <f aca="false">IF(E234="","",IF(E234&lt;=Inputs!$C$12,Inputs!$C$14,IF(E234&gt;=Inputs!$C$13,Inputs!$C$15,Inputs!$C$11/E234))*C234)</f>
        <v>38.771586420679</v>
      </c>
      <c r="G234" s="25" t="n">
        <v>39.491</v>
      </c>
      <c r="H234" s="23" t="n">
        <f aca="false">IF(OR(G234="",D234=""),"",G234-D234)</f>
        <v>1.701</v>
      </c>
      <c r="I234" s="31" t="n">
        <f aca="false">IF(H234="","",(D234-Inputs!$C$8)/(G234-Inputs!$C$8))</f>
        <v>0.84381599485814</v>
      </c>
      <c r="J234" s="32" t="n">
        <f aca="false">IF(C234&lt;=Inputs!$C$12,1,0)</f>
        <v>0</v>
      </c>
    </row>
    <row r="235" customFormat="false" ht="15" hidden="false" customHeight="false" outlineLevel="0" collapsed="false">
      <c r="B235" s="30" t="n">
        <v>45807</v>
      </c>
      <c r="C235" s="25" t="n">
        <v>207.32</v>
      </c>
      <c r="D235" s="25" t="n">
        <v>37.38</v>
      </c>
      <c r="E235" s="25" t="n">
        <v>200.652</v>
      </c>
      <c r="F235" s="23" t="n">
        <f aca="false">IF(E235="","",IF(E235&lt;=Inputs!$C$12,Inputs!$C$14,IF(E235&gt;=Inputs!$C$13,Inputs!$C$15,Inputs!$C$11/E235))*C235)</f>
        <v>38.4878795127883</v>
      </c>
      <c r="G235" s="25" t="n">
        <v>39.39</v>
      </c>
      <c r="H235" s="23" t="n">
        <f aca="false">IF(OR(G235="",D235=""),"",G235-D235)</f>
        <v>2.01</v>
      </c>
      <c r="I235" s="31" t="n">
        <f aca="false">IF(H235="","",(D235-Inputs!$C$8)/(G235-Inputs!$C$8))</f>
        <v>0.81371640407785</v>
      </c>
      <c r="J235" s="32" t="n">
        <f aca="false">IF(C235&lt;=Inputs!$C$12,1,0)</f>
        <v>0</v>
      </c>
    </row>
    <row r="236" customFormat="false" ht="15" hidden="false" customHeight="false" outlineLevel="0" collapsed="false">
      <c r="B236" s="30" t="n">
        <v>45810</v>
      </c>
      <c r="C236" s="25" t="n">
        <v>211.47</v>
      </c>
      <c r="D236" s="25" t="n">
        <v>37.86</v>
      </c>
      <c r="E236" s="25" t="n">
        <v>202.148</v>
      </c>
      <c r="F236" s="23" t="n">
        <f aca="false">IF(E236="","",IF(E236&lt;=Inputs!$C$12,Inputs!$C$14,IF(E236&gt;=Inputs!$C$13,Inputs!$C$15,Inputs!$C$11/E236))*C236)</f>
        <v>38.9677736114134</v>
      </c>
      <c r="G236" s="25" t="n">
        <v>39.924</v>
      </c>
      <c r="H236" s="23" t="n">
        <f aca="false">IF(OR(G236="",D236=""),"",G236-D236)</f>
        <v>2.064</v>
      </c>
      <c r="I236" s="31" t="n">
        <f aca="false">IF(H236="","",(D236-Inputs!$C$8)/(G236-Inputs!$C$8))</f>
        <v>0.817732250088308</v>
      </c>
      <c r="J236" s="32" t="n">
        <f aca="false">IF(C236&lt;=Inputs!$C$12,1,0)</f>
        <v>0</v>
      </c>
    </row>
    <row r="237" customFormat="false" ht="15" hidden="false" customHeight="false" outlineLevel="0" collapsed="false">
      <c r="B237" s="30" t="n">
        <v>45811</v>
      </c>
      <c r="C237" s="25" t="n">
        <v>213.43</v>
      </c>
      <c r="D237" s="25" t="n">
        <v>38.19</v>
      </c>
      <c r="E237" s="25" t="n">
        <v>203.752</v>
      </c>
      <c r="F237" s="23" t="n">
        <f aca="false">IF(E237="","",IF(E237&lt;=Inputs!$C$12,Inputs!$C$14,IF(E237&gt;=Inputs!$C$13,Inputs!$C$15,Inputs!$C$11/E237))*C237)</f>
        <v>39.0193347795359</v>
      </c>
      <c r="G237" s="25" t="n">
        <v>40.146</v>
      </c>
      <c r="H237" s="23" t="n">
        <f aca="false">IF(OR(G237="",D237=""),"",G237-D237)</f>
        <v>1.956</v>
      </c>
      <c r="I237" s="31" t="n">
        <f aca="false">IF(H237="","",(D237-Inputs!$C$8)/(G237-Inputs!$C$8))</f>
        <v>0.83059068075524</v>
      </c>
      <c r="J237" s="32" t="n">
        <f aca="false">IF(C237&lt;=Inputs!$C$12,1,0)</f>
        <v>0</v>
      </c>
    </row>
    <row r="238" customFormat="false" ht="15" hidden="false" customHeight="false" outlineLevel="0" collapsed="false">
      <c r="B238" s="30" t="n">
        <v>45812</v>
      </c>
      <c r="C238" s="25" t="n">
        <v>211.98</v>
      </c>
      <c r="D238" s="25" t="n">
        <v>37.79</v>
      </c>
      <c r="E238" s="25" t="n">
        <v>204.735</v>
      </c>
      <c r="F238" s="23" t="n">
        <f aca="false">IF(E238="","",IF(E238&lt;=Inputs!$C$12,Inputs!$C$14,IF(E238&gt;=Inputs!$C$13,Inputs!$C$15,Inputs!$C$11/E238))*C238)</f>
        <v>38.5681734925636</v>
      </c>
      <c r="G238" s="25" t="n">
        <v>39.934</v>
      </c>
      <c r="H238" s="23" t="n">
        <f aca="false">IF(OR(G238="",D238=""),"",G238-D238)</f>
        <v>2.144</v>
      </c>
      <c r="I238" s="31" t="n">
        <f aca="false">IF(H238="","",(D238-Inputs!$C$8)/(G238-Inputs!$C$8))</f>
        <v>0.810834656784895</v>
      </c>
      <c r="J238" s="32" t="n">
        <f aca="false">IF(C238&lt;=Inputs!$C$12,1,0)</f>
        <v>0</v>
      </c>
    </row>
    <row r="239" customFormat="false" ht="15" hidden="false" customHeight="false" outlineLevel="0" collapsed="false">
      <c r="B239" s="30" t="n">
        <v>45813</v>
      </c>
      <c r="C239" s="25" t="n">
        <v>209.02</v>
      </c>
      <c r="D239" s="25" t="n">
        <v>37.68</v>
      </c>
      <c r="E239" s="25" t="n">
        <v>205.895</v>
      </c>
      <c r="F239" s="23" t="n">
        <f aca="false">IF(E239="","",IF(E239&lt;=Inputs!$C$12,Inputs!$C$14,IF(E239&gt;=Inputs!$C$13,Inputs!$C$15,Inputs!$C$11/E239))*C239)</f>
        <v>37.8153670560237</v>
      </c>
      <c r="G239" s="25" t="n">
        <v>39.563</v>
      </c>
      <c r="H239" s="23" t="n">
        <f aca="false">IF(OR(G239="",D239=""),"",G239-D239)</f>
        <v>1.883</v>
      </c>
      <c r="I239" s="31" t="n">
        <f aca="false">IF(H239="","",(D239-Inputs!$C$8)/(G239-Inputs!$C$8))</f>
        <v>0.828240445133631</v>
      </c>
      <c r="J239" s="32" t="n">
        <f aca="false">IF(C239&lt;=Inputs!$C$12,1,0)</f>
        <v>0</v>
      </c>
    </row>
    <row r="240" customFormat="false" ht="15" hidden="false" customHeight="false" outlineLevel="0" collapsed="false">
      <c r="B240" s="30" t="n">
        <v>45814</v>
      </c>
      <c r="C240" s="25" t="n">
        <v>210.8</v>
      </c>
      <c r="D240" s="25" t="n">
        <v>37.94</v>
      </c>
      <c r="E240" s="25" t="n">
        <v>206.557</v>
      </c>
      <c r="F240" s="23" t="n">
        <f aca="false">IF(E240="","",IF(E240&lt;=Inputs!$C$12,Inputs!$C$14,IF(E240&gt;=Inputs!$C$13,Inputs!$C$15,Inputs!$C$11/E240))*C240)</f>
        <v>38.0151725673785</v>
      </c>
      <c r="G240" s="25" t="n">
        <v>39.681</v>
      </c>
      <c r="H240" s="23" t="n">
        <f aca="false">IF(OR(G240="",D240=""),"",G240-D240)</f>
        <v>1.741</v>
      </c>
      <c r="I240" s="31" t="n">
        <f aca="false">IF(H240="","",(D240-Inputs!$C$8)/(G240-Inputs!$C$8))</f>
        <v>0.842884216225972</v>
      </c>
      <c r="J240" s="32" t="n">
        <f aca="false">IF(C240&lt;=Inputs!$C$12,1,0)</f>
        <v>0</v>
      </c>
    </row>
    <row r="241" customFormat="false" ht="15" hidden="false" customHeight="false" outlineLevel="0" collapsed="false">
      <c r="B241" s="30" t="n">
        <v>45817</v>
      </c>
      <c r="C241" s="25" t="n">
        <v>217.51</v>
      </c>
      <c r="D241" s="25" t="n">
        <v>38.72</v>
      </c>
      <c r="E241" s="25" t="n">
        <v>206.78</v>
      </c>
      <c r="F241" s="23" t="n">
        <f aca="false">IF(E241="","",IF(E241&lt;=Inputs!$C$12,Inputs!$C$14,IF(E241&gt;=Inputs!$C$13,Inputs!$C$15,Inputs!$C$11/E241))*C241)</f>
        <v>39.1829359705968</v>
      </c>
      <c r="G241" s="25" t="n">
        <v>40.862</v>
      </c>
      <c r="H241" s="23" t="n">
        <f aca="false">IF(OR(G241="",D241=""),"",G241-D241)</f>
        <v>2.142</v>
      </c>
      <c r="I241" s="31" t="n">
        <f aca="false">IF(H241="","",(D241-Inputs!$C$8)/(G241-Inputs!$C$8))</f>
        <v>0.825313978143859</v>
      </c>
      <c r="J241" s="32" t="n">
        <f aca="false">IF(C241&lt;=Inputs!$C$12,1,0)</f>
        <v>0</v>
      </c>
    </row>
    <row r="242" customFormat="false" ht="15" hidden="false" customHeight="false" outlineLevel="0" collapsed="false">
      <c r="B242" s="30" t="n">
        <v>45818</v>
      </c>
      <c r="C242" s="25" t="n">
        <v>215.73</v>
      </c>
      <c r="D242" s="25" t="n">
        <v>38.4</v>
      </c>
      <c r="E242" s="25" t="n">
        <v>206.972</v>
      </c>
      <c r="F242" s="23" t="n">
        <f aca="false">IF(E242="","",IF(E242&lt;=Inputs!$C$12,Inputs!$C$14,IF(E242&gt;=Inputs!$C$13,Inputs!$C$15,Inputs!$C$11/E242))*C242)</f>
        <v>38.8314</v>
      </c>
      <c r="G242" s="25" t="n">
        <v>40.703</v>
      </c>
      <c r="H242" s="23" t="n">
        <f aca="false">IF(OR(G242="",D242=""),"",G242-D242)</f>
        <v>2.303</v>
      </c>
      <c r="I242" s="31" t="n">
        <f aca="false">IF(H242="","",(D242-Inputs!$C$8)/(G242-Inputs!$C$8))</f>
        <v>0.809716599190283</v>
      </c>
      <c r="J242" s="32" t="n">
        <f aca="false">IF(C242&lt;=Inputs!$C$12,1,0)</f>
        <v>0</v>
      </c>
    </row>
    <row r="243" customFormat="false" ht="15" hidden="false" customHeight="false" outlineLevel="0" collapsed="false">
      <c r="B243" s="30" t="n">
        <v>45819</v>
      </c>
      <c r="C243" s="25" t="n">
        <v>214</v>
      </c>
      <c r="D243" s="25" t="n">
        <v>38.37</v>
      </c>
      <c r="E243" s="25" t="n">
        <v>207.931</v>
      </c>
      <c r="F243" s="23" t="n">
        <f aca="false">IF(E243="","",IF(E243&lt;=Inputs!$C$12,Inputs!$C$14,IF(E243&gt;=Inputs!$C$13,Inputs!$C$15,Inputs!$C$11/E243))*C243)</f>
        <v>38.52</v>
      </c>
      <c r="G243" s="25" t="n">
        <v>40.492</v>
      </c>
      <c r="H243" s="23" t="n">
        <f aca="false">IF(OR(G243="",D243=""),"",G243-D243)</f>
        <v>2.122</v>
      </c>
      <c r="I243" s="31" t="n">
        <f aca="false">IF(H243="","",(D243-Inputs!$C$8)/(G243-Inputs!$C$8))</f>
        <v>0.821560713084427</v>
      </c>
      <c r="J243" s="32" t="n">
        <f aca="false">IF(C243&lt;=Inputs!$C$12,1,0)</f>
        <v>0</v>
      </c>
    </row>
    <row r="244" customFormat="false" ht="15" hidden="false" customHeight="false" outlineLevel="0" collapsed="false">
      <c r="B244" s="30" t="n">
        <v>45820</v>
      </c>
      <c r="C244" s="25" t="n">
        <v>203.75</v>
      </c>
      <c r="D244" s="25" t="n">
        <v>37.46</v>
      </c>
      <c r="E244" s="25" t="n">
        <v>208.715</v>
      </c>
      <c r="F244" s="23" t="n">
        <f aca="false">IF(E244="","",IF(E244&lt;=Inputs!$C$12,Inputs!$C$14,IF(E244&gt;=Inputs!$C$13,Inputs!$C$15,Inputs!$C$11/E244))*C244)</f>
        <v>36.675</v>
      </c>
      <c r="G244" s="25" t="n">
        <v>39.363</v>
      </c>
      <c r="H244" s="23" t="n">
        <f aca="false">IF(OR(G244="",D244=""),"",G244-D244)</f>
        <v>1.903</v>
      </c>
      <c r="I244" s="31" t="n">
        <f aca="false">IF(H244="","",(D244-Inputs!$C$8)/(G244-Inputs!$C$8))</f>
        <v>0.823190560252718</v>
      </c>
      <c r="J244" s="32" t="n">
        <f aca="false">IF(C244&lt;=Inputs!$C$12,1,0)</f>
        <v>0</v>
      </c>
    </row>
    <row r="245" customFormat="false" ht="15" hidden="false" customHeight="false" outlineLevel="0" collapsed="false">
      <c r="B245" s="30" t="n">
        <v>45821</v>
      </c>
      <c r="C245" s="25" t="n">
        <v>200.32</v>
      </c>
      <c r="D245" s="25" t="n">
        <v>36.82</v>
      </c>
      <c r="E245" s="25" t="n">
        <v>209.081</v>
      </c>
      <c r="F245" s="23" t="n">
        <f aca="false">IF(E245="","",IF(E245&lt;=Inputs!$C$12,Inputs!$C$14,IF(E245&gt;=Inputs!$C$13,Inputs!$C$15,Inputs!$C$11/E245))*C245)</f>
        <v>36.0576</v>
      </c>
      <c r="G245" s="25" t="n">
        <v>38.908</v>
      </c>
      <c r="H245" s="23" t="n">
        <f aca="false">IF(OR(G245="",D245=""),"",G245-D245)</f>
        <v>2.088</v>
      </c>
      <c r="I245" s="31" t="n">
        <f aca="false">IF(H245="","",(D245-Inputs!$C$8)/(G245-Inputs!$C$8))</f>
        <v>0.79743888242142</v>
      </c>
      <c r="J245" s="32" t="n">
        <f aca="false">IF(C245&lt;=Inputs!$C$12,1,0)</f>
        <v>0</v>
      </c>
    </row>
    <row r="246" customFormat="false" ht="15" hidden="false" customHeight="false" outlineLevel="0" collapsed="false">
      <c r="B246" s="30" t="n">
        <v>45824</v>
      </c>
      <c r="C246" s="25" t="n">
        <v>201.7</v>
      </c>
      <c r="D246" s="25" t="n">
        <v>37.01</v>
      </c>
      <c r="E246" s="25" t="n">
        <v>208.081</v>
      </c>
      <c r="F246" s="23" t="n">
        <f aca="false">IF(E246="","",IF(E246&lt;=Inputs!$C$12,Inputs!$C$14,IF(E246&gt;=Inputs!$C$13,Inputs!$C$15,Inputs!$C$11/E246))*C246)</f>
        <v>36.306</v>
      </c>
      <c r="G246" s="25" t="n">
        <v>38.976</v>
      </c>
      <c r="H246" s="23" t="n">
        <f aca="false">IF(OR(G246="",D246=""),"",G246-D246)</f>
        <v>1.966</v>
      </c>
      <c r="I246" s="31" t="n">
        <f aca="false">IF(H246="","",(D246-Inputs!$C$8)/(G246-Inputs!$C$8))</f>
        <v>0.810524286815728</v>
      </c>
      <c r="J246" s="32" t="n">
        <f aca="false">IF(C246&lt;=Inputs!$C$12,1,0)</f>
        <v>0</v>
      </c>
    </row>
    <row r="247" customFormat="false" ht="15" hidden="false" customHeight="false" outlineLevel="0" collapsed="false">
      <c r="B247" s="30" t="n">
        <v>45825</v>
      </c>
      <c r="C247" s="25" t="n">
        <v>200.26</v>
      </c>
      <c r="D247" s="25" t="n">
        <v>37.1</v>
      </c>
      <c r="E247" s="25" t="n">
        <v>207.207</v>
      </c>
      <c r="F247" s="23" t="n">
        <f aca="false">IF(E247="","",IF(E247&lt;=Inputs!$C$12,Inputs!$C$14,IF(E247&gt;=Inputs!$C$13,Inputs!$C$15,Inputs!$C$11/E247))*C247)</f>
        <v>36.0468</v>
      </c>
      <c r="G247" s="25" t="n">
        <v>38.83</v>
      </c>
      <c r="H247" s="23" t="n">
        <f aca="false">IF(OR(G247="",D247=""),"",G247-D247)</f>
        <v>1.73</v>
      </c>
      <c r="I247" s="31" t="n">
        <f aca="false">IF(H247="","",(D247-Inputs!$C$8)/(G247-Inputs!$C$8))</f>
        <v>0.83088954056696</v>
      </c>
      <c r="J247" s="32" t="n">
        <f aca="false">IF(C247&lt;=Inputs!$C$12,1,0)</f>
        <v>0</v>
      </c>
    </row>
    <row r="248" customFormat="false" ht="15" hidden="false" customHeight="false" outlineLevel="0" collapsed="false">
      <c r="B248" s="30" t="n">
        <v>45826</v>
      </c>
      <c r="C248" s="25" t="n">
        <v>197.68</v>
      </c>
      <c r="D248" s="25" t="n">
        <v>36.86</v>
      </c>
      <c r="E248" s="25" t="n">
        <v>207.148</v>
      </c>
      <c r="F248" s="23" t="n">
        <f aca="false">IF(E248="","",IF(E248&lt;=Inputs!$C$12,Inputs!$C$14,IF(E248&gt;=Inputs!$C$13,Inputs!$C$15,Inputs!$C$11/E248))*C248)</f>
        <v>35.5824</v>
      </c>
      <c r="G248" s="25" t="n">
        <v>38.509</v>
      </c>
      <c r="H248" s="23" t="n">
        <f aca="false">IF(OR(G248="",D248=""),"",G248-D248)</f>
        <v>1.649</v>
      </c>
      <c r="I248" s="31" t="n">
        <f aca="false">IF(H248="","",(D248-Inputs!$C$8)/(G248-Inputs!$C$8))</f>
        <v>0.833585629225956</v>
      </c>
      <c r="J248" s="32" t="n">
        <f aca="false">IF(C248&lt;=Inputs!$C$12,1,0)</f>
        <v>0</v>
      </c>
    </row>
    <row r="249" customFormat="false" ht="15" hidden="false" customHeight="false" outlineLevel="0" collapsed="false">
      <c r="B249" s="30" t="n">
        <v>45828</v>
      </c>
      <c r="C249" s="25" t="n">
        <v>198.75</v>
      </c>
      <c r="D249" s="25" t="n">
        <v>37.12</v>
      </c>
      <c r="E249" s="25" t="n">
        <v>206.926</v>
      </c>
      <c r="F249" s="23" t="n">
        <f aca="false">IF(E249="","",IF(E249&lt;=Inputs!$C$12,Inputs!$C$14,IF(E249&gt;=Inputs!$C$13,Inputs!$C$15,Inputs!$C$11/E249))*C249)</f>
        <v>35.7781888211245</v>
      </c>
      <c r="G249" s="25" t="n">
        <v>38.537</v>
      </c>
      <c r="H249" s="23" t="n">
        <f aca="false">IF(OR(G249="",D249=""),"",G249-D249)</f>
        <v>1.417</v>
      </c>
      <c r="I249" s="31" t="n">
        <f aca="false">IF(H249="","",(D249-Inputs!$C$8)/(G249-Inputs!$C$8))</f>
        <v>0.857401630270705</v>
      </c>
      <c r="J249" s="32" t="n">
        <f aca="false">IF(C249&lt;=Inputs!$C$12,1,0)</f>
        <v>0</v>
      </c>
    </row>
    <row r="250" customFormat="false" ht="15" hidden="false" customHeight="false" outlineLevel="0" collapsed="false">
      <c r="B250" s="30" t="n">
        <v>45831</v>
      </c>
      <c r="C250" s="25" t="n">
        <v>201.31</v>
      </c>
      <c r="D250" s="25" t="n">
        <v>37.11</v>
      </c>
      <c r="E250" s="25" t="n">
        <v>206.686</v>
      </c>
      <c r="F250" s="23" t="n">
        <f aca="false">IF(E250="","",IF(E250&lt;=Inputs!$C$12,Inputs!$C$14,IF(E250&gt;=Inputs!$C$13,Inputs!$C$15,Inputs!$C$11/E250))*C250)</f>
        <v>36.2811099929361</v>
      </c>
      <c r="G250" s="25" t="n">
        <v>38.861</v>
      </c>
      <c r="H250" s="23" t="n">
        <f aca="false">IF(OR(G250="",D250=""),"",G250-D250)</f>
        <v>1.751</v>
      </c>
      <c r="I250" s="31" t="n">
        <f aca="false">IF(H250="","",(D250-Inputs!$C$8)/(G250-Inputs!$C$8))</f>
        <v>0.829353864145795</v>
      </c>
      <c r="J250" s="32" t="n">
        <f aca="false">IF(C250&lt;=Inputs!$C$12,1,0)</f>
        <v>0</v>
      </c>
    </row>
    <row r="251" customFormat="false" ht="15" hidden="false" customHeight="false" outlineLevel="0" collapsed="false">
      <c r="B251" s="30" t="n">
        <v>45832</v>
      </c>
      <c r="C251" s="25" t="n">
        <v>200.94</v>
      </c>
      <c r="D251" s="25" t="n">
        <v>37.01</v>
      </c>
      <c r="E251" s="25" t="n">
        <v>206.135</v>
      </c>
      <c r="F251" s="23" t="n">
        <f aca="false">IF(E251="","",IF(E251&lt;=Inputs!$C$12,Inputs!$C$14,IF(E251&gt;=Inputs!$C$13,Inputs!$C$15,Inputs!$C$11/E251))*C251)</f>
        <v>36.3112280786863</v>
      </c>
      <c r="G251" s="25" t="n">
        <v>38.77</v>
      </c>
      <c r="H251" s="23" t="n">
        <f aca="false">IF(OR(G251="",D251=""),"",G251-D251)</f>
        <v>1.76000000000001</v>
      </c>
      <c r="I251" s="31" t="n">
        <f aca="false">IF(H251="","",(D251-Inputs!$C$8)/(G251-Inputs!$C$8))</f>
        <v>0.826941986234021</v>
      </c>
      <c r="J251" s="32" t="n">
        <f aca="false">IF(C251&lt;=Inputs!$C$12,1,0)</f>
        <v>0</v>
      </c>
    </row>
    <row r="252" customFormat="false" ht="15" hidden="false" customHeight="false" outlineLevel="0" collapsed="false">
      <c r="B252" s="30" t="n">
        <v>45833</v>
      </c>
      <c r="C252" s="25" t="n">
        <v>198.9</v>
      </c>
      <c r="D252" s="25" t="n">
        <v>36.75</v>
      </c>
      <c r="E252" s="25" t="n">
        <v>205.878</v>
      </c>
      <c r="F252" s="23" t="n">
        <f aca="false">IF(E252="","",IF(E252&lt;=Inputs!$C$12,Inputs!$C$14,IF(E252&gt;=Inputs!$C$13,Inputs!$C$15,Inputs!$C$11/E252))*C252)</f>
        <v>35.9874537347361</v>
      </c>
      <c r="G252" s="25" t="n">
        <v>38.568</v>
      </c>
      <c r="H252" s="23" t="n">
        <f aca="false">IF(OR(G252="",D252=""),"",G252-D252)</f>
        <v>1.818</v>
      </c>
      <c r="I252" s="31" t="n">
        <f aca="false">IF(H252="","",(D252-Inputs!$C$8)/(G252-Inputs!$C$8))</f>
        <v>0.817616372391653</v>
      </c>
      <c r="J252" s="32" t="n">
        <f aca="false">IF(C252&lt;=Inputs!$C$12,1,0)</f>
        <v>0</v>
      </c>
    </row>
    <row r="253" customFormat="false" ht="15" hidden="false" customHeight="false" outlineLevel="0" collapsed="false">
      <c r="B253" s="30" t="n">
        <v>45834</v>
      </c>
      <c r="C253" s="25" t="n">
        <v>202.58</v>
      </c>
      <c r="D253" s="25" t="n">
        <v>37.21</v>
      </c>
      <c r="E253" s="25" t="n">
        <v>205.444</v>
      </c>
      <c r="F253" s="23" t="n">
        <f aca="false">IF(E253="","",IF(E253&lt;=Inputs!$C$12,Inputs!$C$14,IF(E253&gt;=Inputs!$C$13,Inputs!$C$15,Inputs!$C$11/E253))*C253)</f>
        <v>36.7307149393509</v>
      </c>
      <c r="G253" s="25" t="n">
        <v>39.009</v>
      </c>
      <c r="H253" s="23" t="n">
        <f aca="false">IF(OR(G253="",D253=""),"",G253-D253)</f>
        <v>1.799</v>
      </c>
      <c r="I253" s="31" t="n">
        <f aca="false">IF(H253="","",(D253-Inputs!$C$8)/(G253-Inputs!$C$8))</f>
        <v>0.827168796234028</v>
      </c>
      <c r="J253" s="32" t="n">
        <f aca="false">IF(C253&lt;=Inputs!$C$12,1,0)</f>
        <v>0</v>
      </c>
    </row>
    <row r="254" customFormat="false" ht="15" hidden="false" customHeight="false" outlineLevel="0" collapsed="false">
      <c r="B254" s="30" t="n">
        <v>45835</v>
      </c>
      <c r="C254" s="25" t="n">
        <v>214.55</v>
      </c>
      <c r="D254" s="25" t="n">
        <v>38.63</v>
      </c>
      <c r="E254" s="25" t="n">
        <v>204.754</v>
      </c>
      <c r="F254" s="23" t="n">
        <f aca="false">IF(E254="","",IF(E254&lt;=Inputs!$C$12,Inputs!$C$14,IF(E254&gt;=Inputs!$C$13,Inputs!$C$15,Inputs!$C$11/E254))*C254)</f>
        <v>39.032143450189</v>
      </c>
      <c r="G254" s="25" t="n">
        <v>40.456</v>
      </c>
      <c r="H254" s="23" t="n">
        <f aca="false">IF(OR(G254="",D254=""),"",G254-D254)</f>
        <v>1.826</v>
      </c>
      <c r="I254" s="31" t="n">
        <f aca="false">IF(H254="","",(D254-Inputs!$C$8)/(G254-Inputs!$C$8))</f>
        <v>0.845985155195682</v>
      </c>
      <c r="J254" s="32" t="n">
        <f aca="false">IF(C254&lt;=Inputs!$C$12,1,0)</f>
        <v>0</v>
      </c>
    </row>
    <row r="255" customFormat="false" ht="15" hidden="false" customHeight="false" outlineLevel="0" collapsed="false">
      <c r="B255" s="30" t="n">
        <v>45838</v>
      </c>
      <c r="C255" s="25" t="n">
        <v>209.53</v>
      </c>
      <c r="D255" s="25" t="n">
        <v>38.15</v>
      </c>
      <c r="E255" s="25" t="n">
        <v>204.302</v>
      </c>
      <c r="F255" s="23" t="n">
        <f aca="false">IF(E255="","",IF(E255&lt;=Inputs!$C$12,Inputs!$C$14,IF(E255&gt;=Inputs!$C$13,Inputs!$C$15,Inputs!$C$11/E255))*C255)</f>
        <v>38.2032114223062</v>
      </c>
      <c r="G255" s="25" t="n">
        <v>39.829</v>
      </c>
      <c r="H255" s="23" t="n">
        <f aca="false">IF(OR(G255="",D255=""),"",G255-D255)</f>
        <v>1.679</v>
      </c>
      <c r="I255" s="31" t="n">
        <f aca="false">IF(H255="","",(D255-Inputs!$C$8)/(G255-Inputs!$C$8))</f>
        <v>0.850476444919405</v>
      </c>
      <c r="J255" s="32" t="n">
        <f aca="false">IF(C255&lt;=Inputs!$C$12,1,0)</f>
        <v>0</v>
      </c>
    </row>
    <row r="256" customFormat="false" ht="15" hidden="false" customHeight="false" outlineLevel="0" collapsed="false">
      <c r="B256" s="30" t="n">
        <v>45839</v>
      </c>
      <c r="C256" s="25" t="n">
        <v>209.79</v>
      </c>
      <c r="D256" s="25" t="n">
        <v>38.35</v>
      </c>
      <c r="E256" s="25" t="n">
        <v>204.809</v>
      </c>
      <c r="F256" s="23" t="n">
        <f aca="false">IF(E256="","",IF(E256&lt;=Inputs!$C$12,Inputs!$C$14,IF(E256&gt;=Inputs!$C$13,Inputs!$C$15,Inputs!$C$11/E256))*C256)</f>
        <v>38.15592820628</v>
      </c>
      <c r="G256" s="25" t="n">
        <v>39.917</v>
      </c>
      <c r="H256" s="23" t="n">
        <f aca="false">IF(OR(G256="",D256=""),"",G256-D256)</f>
        <v>1.567</v>
      </c>
      <c r="I256" s="31" t="n">
        <f aca="false">IF(H256="","",(D256-Inputs!$C$8)/(G256-Inputs!$C$8))</f>
        <v>0.861535742687992</v>
      </c>
      <c r="J256" s="32" t="n">
        <f aca="false">IF(C256&lt;=Inputs!$C$12,1,0)</f>
        <v>0</v>
      </c>
    </row>
    <row r="257" customFormat="false" ht="15" hidden="false" customHeight="false" outlineLevel="0" collapsed="false">
      <c r="B257" s="30" t="n">
        <v>45840</v>
      </c>
      <c r="C257" s="25" t="n">
        <v>212.03</v>
      </c>
      <c r="D257" s="25" t="n">
        <v>38.44</v>
      </c>
      <c r="E257" s="25" t="n">
        <v>204.958</v>
      </c>
      <c r="F257" s="23" t="n">
        <f aca="false">IF(E257="","",IF(E257&lt;=Inputs!$C$12,Inputs!$C$14,IF(E257&gt;=Inputs!$C$13,Inputs!$C$15,Inputs!$C$11/E257))*C257)</f>
        <v>38.5352974755804</v>
      </c>
      <c r="G257" s="25" t="n">
        <v>40.163</v>
      </c>
      <c r="H257" s="23" t="n">
        <f aca="false">IF(OR(G257="",D257=""),"",G257-D257)</f>
        <v>1.723</v>
      </c>
      <c r="I257" s="31" t="n">
        <f aca="false">IF(H257="","",(D257-Inputs!$C$8)/(G257-Inputs!$C$8))</f>
        <v>0.850990227449624</v>
      </c>
      <c r="J257" s="32" t="n">
        <f aca="false">IF(C257&lt;=Inputs!$C$12,1,0)</f>
        <v>0</v>
      </c>
    </row>
    <row r="258" customFormat="false" ht="15" hidden="false" customHeight="false" outlineLevel="0" collapsed="false">
      <c r="B258" s="30" t="n">
        <v>45841</v>
      </c>
      <c r="C258" s="25" t="n">
        <v>215.92</v>
      </c>
      <c r="D258" s="25" t="n">
        <v>38.73</v>
      </c>
      <c r="E258" s="25" t="n">
        <v>204.451</v>
      </c>
      <c r="F258" s="23" t="n">
        <f aca="false">IF(E258="","",IF(E258&lt;=Inputs!$C$12,Inputs!$C$14,IF(E258&gt;=Inputs!$C$13,Inputs!$C$15,Inputs!$C$11/E258))*C258)</f>
        <v>39.3395972629139</v>
      </c>
      <c r="G258" s="25" t="n">
        <v>40.565</v>
      </c>
      <c r="H258" s="23" t="n">
        <f aca="false">IF(OR(G258="",D258=""),"",G258-D258)</f>
        <v>1.835</v>
      </c>
      <c r="I258" s="31" t="n">
        <f aca="false">IF(H258="","",(D258-Inputs!$C$8)/(G258-Inputs!$C$8))</f>
        <v>0.846636021730046</v>
      </c>
      <c r="J258" s="32" t="n">
        <f aca="false">IF(C258&lt;=Inputs!$C$12,1,0)</f>
        <v>0</v>
      </c>
    </row>
    <row r="259" customFormat="false" ht="15" hidden="false" customHeight="false" outlineLevel="0" collapsed="false">
      <c r="B259" s="30" t="n">
        <v>45845</v>
      </c>
      <c r="C259" s="25" t="n">
        <v>218.63</v>
      </c>
      <c r="D259" s="25" t="n">
        <v>38.91</v>
      </c>
      <c r="E259" s="25" t="n">
        <v>204.109</v>
      </c>
      <c r="F259" s="23" t="n">
        <f aca="false">IF(E259="","",IF(E259&lt;=Inputs!$C$12,Inputs!$C$14,IF(E259&gt;=Inputs!$C$13,Inputs!$C$15,Inputs!$C$11/E259))*C259)</f>
        <v>39.9000901479112</v>
      </c>
      <c r="G259" s="25" t="n">
        <v>41.039</v>
      </c>
      <c r="H259" s="23" t="n">
        <f aca="false">IF(OR(G259="",D259=""),"",G259-D259)</f>
        <v>2.12900000000001</v>
      </c>
      <c r="I259" s="31" t="n">
        <f aca="false">IF(H259="","",(D259-Inputs!$C$8)/(G259-Inputs!$C$8))</f>
        <v>0.82884476244071</v>
      </c>
      <c r="J259" s="32" t="n">
        <f aca="false">IF(C259&lt;=Inputs!$C$12,1,0)</f>
        <v>0</v>
      </c>
    </row>
    <row r="260" customFormat="false" ht="15" hidden="false" customHeight="false" outlineLevel="0" collapsed="false">
      <c r="B260" s="30" t="n">
        <v>45846</v>
      </c>
      <c r="C260" s="25" t="n">
        <v>218.52</v>
      </c>
      <c r="D260" s="25" t="n">
        <v>38.75</v>
      </c>
      <c r="E260" s="25" t="n">
        <v>204.075</v>
      </c>
      <c r="F260" s="23" t="n">
        <f aca="false">IF(E260="","",IF(E260&lt;=Inputs!$C$12,Inputs!$C$14,IF(E260&gt;=Inputs!$C$13,Inputs!$C$15,Inputs!$C$11/E260))*C260)</f>
        <v>39.8866593164278</v>
      </c>
      <c r="G260" s="25" t="n">
        <v>40.965</v>
      </c>
      <c r="H260" s="23" t="n">
        <f aca="false">IF(OR(G260="",D260=""),"",G260-D260)</f>
        <v>2.215</v>
      </c>
      <c r="I260" s="31" t="n">
        <f aca="false">IF(H260="","",(D260-Inputs!$C$8)/(G260-Inputs!$C$8))</f>
        <v>0.820865345733926</v>
      </c>
      <c r="J260" s="32" t="n">
        <f aca="false">IF(C260&lt;=Inputs!$C$12,1,0)</f>
        <v>0</v>
      </c>
    </row>
    <row r="261" customFormat="false" ht="15" hidden="false" customHeight="false" outlineLevel="0" collapsed="false">
      <c r="B261" s="30" t="n">
        <v>45847</v>
      </c>
      <c r="C261" s="25" t="n">
        <v>226.6</v>
      </c>
      <c r="D261" s="25" t="n">
        <v>39.98</v>
      </c>
      <c r="E261" s="25" t="n">
        <v>204.784</v>
      </c>
      <c r="F261" s="23" t="n">
        <f aca="false">IF(E261="","",IF(E261&lt;=Inputs!$C$12,Inputs!$C$14,IF(E261&gt;=Inputs!$C$13,Inputs!$C$15,Inputs!$C$11/E261))*C261)</f>
        <v>41.218308070943</v>
      </c>
      <c r="G261" s="25" t="n">
        <v>42.081</v>
      </c>
      <c r="H261" s="23" t="n">
        <f aca="false">IF(OR(G261="",D261=""),"",G261-D261)</f>
        <v>2.10100000000001</v>
      </c>
      <c r="I261" s="31" t="n">
        <f aca="false">IF(H261="","",(D261-Inputs!$C$8)/(G261-Inputs!$C$8))</f>
        <v>0.844151027371856</v>
      </c>
      <c r="J261" s="32" t="n">
        <f aca="false">IF(C261&lt;=Inputs!$C$12,1,0)</f>
        <v>0</v>
      </c>
    </row>
    <row r="262" customFormat="false" ht="15" hidden="false" customHeight="false" outlineLevel="0" collapsed="false">
      <c r="B262" s="30" t="n">
        <v>45848</v>
      </c>
      <c r="C262" s="25" t="n">
        <v>226.09</v>
      </c>
      <c r="D262" s="25" t="n">
        <v>39.8</v>
      </c>
      <c r="E262" s="25" t="n">
        <v>206.376</v>
      </c>
      <c r="F262" s="23" t="n">
        <f aca="false">IF(E262="","",IF(E262&lt;=Inputs!$C$12,Inputs!$C$14,IF(E262&gt;=Inputs!$C$13,Inputs!$C$15,Inputs!$C$11/E262))*C262)</f>
        <v>40.8082940845835</v>
      </c>
      <c r="G262" s="25" t="n">
        <v>41.906</v>
      </c>
      <c r="H262" s="23" t="n">
        <f aca="false">IF(OR(G262="",D262=""),"",G262-D262)</f>
        <v>2.106</v>
      </c>
      <c r="I262" s="31" t="n">
        <f aca="false">IF(H262="","",(D262-Inputs!$C$8)/(G262-Inputs!$C$8))</f>
        <v>0.841725537351571</v>
      </c>
      <c r="J262" s="32" t="n">
        <f aca="false">IF(C262&lt;=Inputs!$C$12,1,0)</f>
        <v>0</v>
      </c>
    </row>
    <row r="263" customFormat="false" ht="15" hidden="false" customHeight="false" outlineLevel="0" collapsed="false">
      <c r="B263" s="30" t="n">
        <v>45849</v>
      </c>
      <c r="C263" s="25" t="n">
        <v>226.84</v>
      </c>
      <c r="D263" s="25" t="n">
        <v>39.93</v>
      </c>
      <c r="E263" s="25" t="n">
        <v>209.28</v>
      </c>
      <c r="F263" s="23" t="n">
        <f aca="false">IF(E263="","",IF(E263&lt;=Inputs!$C$12,Inputs!$C$14,IF(E263&gt;=Inputs!$C$13,Inputs!$C$15,Inputs!$C$11/E263))*C263)</f>
        <v>40.8312</v>
      </c>
      <c r="G263" s="25" t="n">
        <v>41.956</v>
      </c>
      <c r="H263" s="23" t="n">
        <f aca="false">IF(OR(G263="",D263=""),"",G263-D263)</f>
        <v>2.026</v>
      </c>
      <c r="I263" s="31" t="n">
        <f aca="false">IF(H263="","",(D263-Inputs!$C$8)/(G263-Inputs!$C$8))</f>
        <v>0.848307876609763</v>
      </c>
      <c r="J263" s="32" t="n">
        <f aca="false">IF(C263&lt;=Inputs!$C$12,1,0)</f>
        <v>0</v>
      </c>
    </row>
    <row r="264" customFormat="false" ht="15" hidden="false" customHeight="false" outlineLevel="0" collapsed="false">
      <c r="B264" s="30" t="n">
        <v>45852</v>
      </c>
      <c r="C264" s="25" t="n">
        <v>230.51</v>
      </c>
      <c r="D264" s="25" t="n">
        <v>40.58</v>
      </c>
      <c r="E264" s="25" t="n">
        <v>210.905</v>
      </c>
      <c r="F264" s="23" t="n">
        <f aca="false">IF(E264="","",IF(E264&lt;=Inputs!$C$12,Inputs!$C$14,IF(E264&gt;=Inputs!$C$13,Inputs!$C$15,Inputs!$C$11/E264))*C264)</f>
        <v>41.4918</v>
      </c>
      <c r="G264" s="25" t="n">
        <v>42.577</v>
      </c>
      <c r="H264" s="23" t="n">
        <f aca="false">IF(OR(G264="",D264=""),"",G264-D264)</f>
        <v>1.997</v>
      </c>
      <c r="I264" s="31" t="n">
        <f aca="false">IF(H264="","",(D264-Inputs!$C$8)/(G264-Inputs!$C$8))</f>
        <v>0.857122415396723</v>
      </c>
      <c r="J264" s="32" t="n">
        <f aca="false">IF(C264&lt;=Inputs!$C$12,1,0)</f>
        <v>0</v>
      </c>
    </row>
    <row r="265" customFormat="false" ht="15" hidden="false" customHeight="false" outlineLevel="0" collapsed="false">
      <c r="B265" s="30" t="n">
        <v>45853</v>
      </c>
      <c r="C265" s="25" t="n">
        <v>230</v>
      </c>
      <c r="D265" s="25" t="n">
        <v>40.52</v>
      </c>
      <c r="E265" s="25" t="n">
        <v>212.698</v>
      </c>
      <c r="F265" s="23" t="n">
        <f aca="false">IF(E265="","",IF(E265&lt;=Inputs!$C$12,Inputs!$C$14,IF(E265&gt;=Inputs!$C$13,Inputs!$C$15,Inputs!$C$11/E265))*C265)</f>
        <v>41.4</v>
      </c>
      <c r="G265" s="25" t="n">
        <v>42.465</v>
      </c>
      <c r="H265" s="23" t="n">
        <f aca="false">IF(OR(G265="",D265=""),"",G265-D265)</f>
        <v>1.945</v>
      </c>
      <c r="I265" s="31" t="n">
        <f aca="false">IF(H265="","",(D265-Inputs!$C$8)/(G265-Inputs!$C$8))</f>
        <v>0.85971871619185</v>
      </c>
      <c r="J265" s="32" t="n">
        <f aca="false">IF(C265&lt;=Inputs!$C$12,1,0)</f>
        <v>0</v>
      </c>
    </row>
    <row r="266" customFormat="false" ht="15" hidden="false" customHeight="false" outlineLevel="0" collapsed="false">
      <c r="B266" s="30" t="n">
        <v>45854</v>
      </c>
      <c r="C266" s="25" t="n">
        <v>229.9</v>
      </c>
      <c r="D266" s="25" t="n">
        <v>40.5</v>
      </c>
      <c r="E266" s="25" t="n">
        <v>215.121</v>
      </c>
      <c r="F266" s="23" t="n">
        <f aca="false">IF(E266="","",IF(E266&lt;=Inputs!$C$12,Inputs!$C$14,IF(E266&gt;=Inputs!$C$13,Inputs!$C$15,Inputs!$C$11/E266))*C266)</f>
        <v>41.382</v>
      </c>
      <c r="G266" s="25" t="n">
        <v>42.387</v>
      </c>
      <c r="H266" s="23" t="n">
        <f aca="false">IF(OR(G266="",D266=""),"",G266-D266)</f>
        <v>1.887</v>
      </c>
      <c r="I266" s="31" t="n">
        <f aca="false">IF(H266="","",(D266-Inputs!$C$8)/(G266-Inputs!$C$8))</f>
        <v>0.863131935881628</v>
      </c>
      <c r="J266" s="32" t="n">
        <f aca="false">IF(C266&lt;=Inputs!$C$12,1,0)</f>
        <v>0</v>
      </c>
    </row>
    <row r="267" customFormat="false" ht="15" hidden="false" customHeight="false" outlineLevel="0" collapsed="false">
      <c r="B267" s="30" t="n">
        <v>45855</v>
      </c>
      <c r="C267" s="25" t="n">
        <v>231</v>
      </c>
      <c r="D267" s="25" t="n">
        <v>40.71</v>
      </c>
      <c r="E267" s="25" t="n">
        <v>217.074</v>
      </c>
      <c r="F267" s="23" t="n">
        <f aca="false">IF(E267="","",IF(E267&lt;=Inputs!$C$12,Inputs!$C$14,IF(E267&gt;=Inputs!$C$13,Inputs!$C$15,Inputs!$C$11/E267))*C267)</f>
        <v>41.58</v>
      </c>
      <c r="G267" s="25" t="n">
        <v>42.542</v>
      </c>
      <c r="H267" s="23" t="n">
        <f aca="false">IF(OR(G267="",D267=""),"",G267-D267)</f>
        <v>1.832</v>
      </c>
      <c r="I267" s="31" t="n">
        <f aca="false">IF(H267="","",(D267-Inputs!$C$8)/(G267-Inputs!$C$8))</f>
        <v>0.868598479414718</v>
      </c>
      <c r="J267" s="32" t="n">
        <f aca="false">IF(C267&lt;=Inputs!$C$12,1,0)</f>
        <v>0</v>
      </c>
    </row>
    <row r="268" customFormat="false" ht="15" hidden="false" customHeight="false" outlineLevel="0" collapsed="false">
      <c r="B268" s="30" t="n">
        <v>45856</v>
      </c>
      <c r="C268" s="25" t="n">
        <v>229.34</v>
      </c>
      <c r="D268" s="25" t="n">
        <v>40.56</v>
      </c>
      <c r="E268" s="25" t="n">
        <v>218.672</v>
      </c>
      <c r="F268" s="23" t="n">
        <f aca="false">IF(E268="","",IF(E268&lt;=Inputs!$C$12,Inputs!$C$14,IF(E268&gt;=Inputs!$C$13,Inputs!$C$15,Inputs!$C$11/E268))*C268)</f>
        <v>41.2812</v>
      </c>
      <c r="G268" s="25" t="n">
        <v>42.238</v>
      </c>
      <c r="H268" s="23" t="n">
        <f aca="false">IF(OR(G268="",D268=""),"",G268-D268)</f>
        <v>1.678</v>
      </c>
      <c r="I268" s="31" t="n">
        <f aca="false">IF(H268="","",(D268-Inputs!$C$8)/(G268-Inputs!$C$8))</f>
        <v>0.876961431294911</v>
      </c>
      <c r="J268" s="32" t="n">
        <f aca="false">IF(C268&lt;=Inputs!$C$12,1,0)</f>
        <v>0</v>
      </c>
    </row>
    <row r="269" customFormat="false" ht="15" hidden="false" customHeight="false" outlineLevel="0" collapsed="false">
      <c r="B269" s="30" t="n">
        <v>45859</v>
      </c>
      <c r="C269" s="25" t="n">
        <v>229.32</v>
      </c>
      <c r="D269" s="25" t="n">
        <v>40.64</v>
      </c>
      <c r="E269" s="25" t="n">
        <v>220.17</v>
      </c>
      <c r="F269" s="23" t="n">
        <f aca="false">IF(E269="","",IF(E269&lt;=Inputs!$C$12,Inputs!$C$14,IF(E269&gt;=Inputs!$C$13,Inputs!$C$15,Inputs!$C$11/E269))*C269)</f>
        <v>41.2776</v>
      </c>
      <c r="G269" s="25" t="n">
        <v>42.211</v>
      </c>
      <c r="H269" s="23" t="n">
        <f aca="false">IF(OR(G269="",D269=""),"",G269-D269)</f>
        <v>1.571</v>
      </c>
      <c r="I269" s="31" t="n">
        <f aca="false">IF(H269="","",(D269-Inputs!$C$8)/(G269-Inputs!$C$8))</f>
        <v>0.88457864962163</v>
      </c>
      <c r="J269" s="32" t="n">
        <f aca="false">IF(C269&lt;=Inputs!$C$12,1,0)</f>
        <v>0</v>
      </c>
    </row>
    <row r="270" customFormat="false" ht="15" hidden="false" customHeight="false" outlineLevel="0" collapsed="false">
      <c r="B270" s="30" t="n">
        <v>45860</v>
      </c>
      <c r="C270" s="25" t="n">
        <v>228.48</v>
      </c>
      <c r="D270" s="25" t="n">
        <v>40.63</v>
      </c>
      <c r="E270" s="25" t="n">
        <v>221.665</v>
      </c>
      <c r="F270" s="23" t="n">
        <f aca="false">IF(E270="","",IF(E270&lt;=Inputs!$C$12,Inputs!$C$14,IF(E270&gt;=Inputs!$C$13,Inputs!$C$15,Inputs!$C$11/E270))*C270)</f>
        <v>41.1264</v>
      </c>
      <c r="G270" s="25" t="n">
        <v>42.109</v>
      </c>
      <c r="H270" s="23" t="n">
        <f aca="false">IF(OR(G270="",D270=""),"",G270-D270)</f>
        <v>1.479</v>
      </c>
      <c r="I270" s="31" t="n">
        <f aca="false">IF(H270="","",(D270-Inputs!$C$8)/(G270-Inputs!$C$8))</f>
        <v>0.890517432822563</v>
      </c>
      <c r="J270" s="32" t="n">
        <f aca="false">IF(C270&lt;=Inputs!$C$12,1,0)</f>
        <v>0</v>
      </c>
    </row>
    <row r="271" customFormat="false" ht="15" hidden="false" customHeight="false" outlineLevel="0" collapsed="false">
      <c r="B271" s="30" t="n">
        <v>45861</v>
      </c>
      <c r="C271" s="25" t="n">
        <v>233.88</v>
      </c>
      <c r="D271" s="25" t="n">
        <v>41.48</v>
      </c>
      <c r="E271" s="25" t="n">
        <v>223.372</v>
      </c>
      <c r="F271" s="23" t="n">
        <f aca="false">IF(E271="","",IF(E271&lt;=Inputs!$C$12,Inputs!$C$14,IF(E271&gt;=Inputs!$C$13,Inputs!$C$15,Inputs!$C$11/E271))*C271)</f>
        <v>42.0984</v>
      </c>
      <c r="G271" s="25" t="n">
        <v>42.935</v>
      </c>
      <c r="H271" s="23" t="n">
        <f aca="false">IF(OR(G271="",D271=""),"",G271-D271)</f>
        <v>1.45500000000001</v>
      </c>
      <c r="I271" s="31" t="n">
        <f aca="false">IF(H271="","",(D271-Inputs!$C$8)/(G271-Inputs!$C$8))</f>
        <v>0.898500174398325</v>
      </c>
      <c r="J271" s="32" t="n">
        <f aca="false">IF(C271&lt;=Inputs!$C$12,1,0)</f>
        <v>0</v>
      </c>
    </row>
    <row r="272" customFormat="false" ht="15" hidden="false" customHeight="false" outlineLevel="0" collapsed="false">
      <c r="B272" s="30" t="n">
        <v>45862</v>
      </c>
      <c r="C272" s="25" t="n">
        <v>231.27</v>
      </c>
      <c r="D272" s="25" t="n">
        <v>40.98</v>
      </c>
      <c r="E272" s="25" t="n">
        <v>224.662</v>
      </c>
      <c r="F272" s="23" t="n">
        <f aca="false">IF(E272="","",IF(E272&lt;=Inputs!$C$12,Inputs!$C$14,IF(E272&gt;=Inputs!$C$13,Inputs!$C$15,Inputs!$C$11/E272))*C272)</f>
        <v>41.6286</v>
      </c>
      <c r="G272" s="25" t="n">
        <v>42.638</v>
      </c>
      <c r="H272" s="23" t="n">
        <f aca="false">IF(OR(G272="",D272=""),"",G272-D272)</f>
        <v>1.658</v>
      </c>
      <c r="I272" s="31" t="n">
        <f aca="false">IF(H272="","",(D272-Inputs!$C$8)/(G272-Inputs!$C$8))</f>
        <v>0.881892007408463</v>
      </c>
      <c r="J272" s="32" t="n">
        <f aca="false">IF(C272&lt;=Inputs!$C$12,1,0)</f>
        <v>0</v>
      </c>
    </row>
    <row r="273" customFormat="false" ht="15" hidden="false" customHeight="false" outlineLevel="0" collapsed="false">
      <c r="B273" s="30" t="n">
        <v>45863</v>
      </c>
      <c r="C273" s="25" t="n">
        <v>233.06</v>
      </c>
      <c r="D273" s="25" t="n">
        <v>40.99</v>
      </c>
      <c r="E273" s="25" t="n">
        <v>226.06</v>
      </c>
      <c r="F273" s="23" t="n">
        <f aca="false">IF(E273="","",IF(E273&lt;=Inputs!$C$12,Inputs!$C$14,IF(E273&gt;=Inputs!$C$13,Inputs!$C$15,Inputs!$C$11/E273))*C273)</f>
        <v>41.9508</v>
      </c>
      <c r="G273" s="25" t="n">
        <v>42.763</v>
      </c>
      <c r="H273" s="23" t="n">
        <f aca="false">IF(OR(G273="",D273=""),"",G273-D273)</f>
        <v>1.773</v>
      </c>
      <c r="I273" s="31" t="n">
        <f aca="false">IF(H273="","",(D273-Inputs!$C$8)/(G273-Inputs!$C$8))</f>
        <v>0.87481465791146</v>
      </c>
      <c r="J273" s="32" t="n">
        <f aca="false">IF(C273&lt;=Inputs!$C$12,1,0)</f>
        <v>0</v>
      </c>
    </row>
    <row r="274" customFormat="false" ht="15" hidden="false" customHeight="false" outlineLevel="0" collapsed="false">
      <c r="B274" s="30" t="n">
        <v>45866</v>
      </c>
      <c r="C274" s="25" t="n">
        <v>236.41</v>
      </c>
      <c r="D274" s="25" t="n">
        <v>41.6</v>
      </c>
      <c r="E274" s="25" t="n">
        <v>227.217</v>
      </c>
      <c r="F274" s="23" t="n">
        <f aca="false">IF(E274="","",IF(E274&lt;=Inputs!$C$12,Inputs!$C$14,IF(E274&gt;=Inputs!$C$13,Inputs!$C$15,Inputs!$C$11/E274))*C274)</f>
        <v>42.5538</v>
      </c>
      <c r="G274" s="25" t="n">
        <v>43.188</v>
      </c>
      <c r="H274" s="23" t="n">
        <f aca="false">IF(OR(G274="",D274=""),"",G274-D274)</f>
        <v>1.588</v>
      </c>
      <c r="I274" s="31" t="n">
        <f aca="false">IF(H274="","",(D274-Inputs!$C$8)/(G274-Inputs!$C$8))</f>
        <v>0.891143405538799</v>
      </c>
      <c r="J274" s="32" t="n">
        <f aca="false">IF(C274&lt;=Inputs!$C$12,1,0)</f>
        <v>0</v>
      </c>
    </row>
    <row r="275" customFormat="false" ht="15" hidden="false" customHeight="false" outlineLevel="0" collapsed="false">
      <c r="B275" s="30" t="n">
        <v>45867</v>
      </c>
      <c r="C275" s="25" t="n">
        <v>226.08</v>
      </c>
      <c r="D275" s="25" t="n">
        <v>40.12</v>
      </c>
      <c r="E275" s="25" t="n">
        <v>227.914</v>
      </c>
      <c r="F275" s="23" t="n">
        <f aca="false">IF(E275="","",IF(E275&lt;=Inputs!$C$12,Inputs!$C$14,IF(E275&gt;=Inputs!$C$13,Inputs!$C$15,Inputs!$C$11/E275))*C275)</f>
        <v>40.6944</v>
      </c>
      <c r="G275" s="25" t="n">
        <v>41.607</v>
      </c>
      <c r="H275" s="23" t="n">
        <f aca="false">IF(OR(G275="",D275=""),"",G275-D275)</f>
        <v>1.487</v>
      </c>
      <c r="I275" s="31" t="n">
        <f aca="false">IF(H275="","",(D275-Inputs!$C$8)/(G275-Inputs!$C$8))</f>
        <v>0.885676943184439</v>
      </c>
      <c r="J275" s="32" t="n">
        <f aca="false">IF(C275&lt;=Inputs!$C$12,1,0)</f>
        <v>0</v>
      </c>
    </row>
    <row r="276" customFormat="false" ht="15" hidden="false" customHeight="false" outlineLevel="0" collapsed="false">
      <c r="B276" s="30" t="n">
        <v>45868</v>
      </c>
      <c r="C276" s="25" t="n">
        <v>225.84</v>
      </c>
      <c r="D276" s="25" t="n">
        <v>39.82</v>
      </c>
      <c r="E276" s="25" t="n">
        <v>229.008</v>
      </c>
      <c r="F276" s="23" t="n">
        <f aca="false">IF(E276="","",IF(E276&lt;=Inputs!$C$12,Inputs!$C$14,IF(E276&gt;=Inputs!$C$13,Inputs!$C$15,Inputs!$C$11/E276))*C276)</f>
        <v>40.6512</v>
      </c>
      <c r="G276" s="25" t="n">
        <v>41.581</v>
      </c>
      <c r="H276" s="23" t="n">
        <f aca="false">IF(OR(G276="",D276=""),"",G276-D276)</f>
        <v>1.761</v>
      </c>
      <c r="I276" s="31" t="n">
        <f aca="false">IF(H276="","",(D276-Inputs!$C$8)/(G276-Inputs!$C$8))</f>
        <v>0.864340189507742</v>
      </c>
      <c r="J276" s="32" t="n">
        <f aca="false">IF(C276&lt;=Inputs!$C$12,1,0)</f>
        <v>0</v>
      </c>
    </row>
    <row r="277" customFormat="false" ht="15" hidden="false" customHeight="false" outlineLevel="0" collapsed="false">
      <c r="B277" s="30" t="n">
        <v>45869</v>
      </c>
      <c r="C277" s="25" t="n">
        <v>221.84</v>
      </c>
      <c r="D277" s="25" t="n">
        <v>39.4</v>
      </c>
      <c r="E277" s="25" t="n">
        <v>230.006</v>
      </c>
      <c r="F277" s="23" t="n">
        <f aca="false">IF(E277="","",IF(E277&lt;=Inputs!$C$12,Inputs!$C$14,IF(E277&gt;=Inputs!$C$13,Inputs!$C$15,Inputs!$C$11/E277))*C277)</f>
        <v>39.9312</v>
      </c>
      <c r="G277" s="25" t="n">
        <v>40.975</v>
      </c>
      <c r="H277" s="23" t="n">
        <f aca="false">IF(OR(G277="",D277=""),"",G277-D277)</f>
        <v>1.575</v>
      </c>
      <c r="I277" s="31" t="n">
        <f aca="false">IF(H277="","",(D277-Inputs!$C$8)/(G277-Inputs!$C$8))</f>
        <v>0.872727272727273</v>
      </c>
      <c r="J277" s="32" t="n">
        <f aca="false">IF(C277&lt;=Inputs!$C$12,1,0)</f>
        <v>0</v>
      </c>
    </row>
    <row r="278" customFormat="false" ht="15" hidden="false" customHeight="false" outlineLevel="0" collapsed="false">
      <c r="B278" s="30" t="n">
        <v>45870</v>
      </c>
      <c r="C278" s="25" t="n">
        <v>221.9</v>
      </c>
      <c r="D278" s="25" t="n">
        <v>39.11</v>
      </c>
      <c r="E278" s="25" t="n">
        <v>230.411</v>
      </c>
      <c r="F278" s="23" t="n">
        <f aca="false">IF(E278="","",IF(E278&lt;=Inputs!$C$12,Inputs!$C$14,IF(E278&gt;=Inputs!$C$13,Inputs!$C$15,Inputs!$C$11/E278))*C278)</f>
        <v>39.942</v>
      </c>
      <c r="G278" s="25" t="n">
        <v>41.118</v>
      </c>
      <c r="H278" s="23" t="n">
        <f aca="false">IF(OR(G278="",D278=""),"",G278-D278)</f>
        <v>2.008</v>
      </c>
      <c r="I278" s="31" t="n">
        <f aca="false">IF(H278="","",(D278-Inputs!$C$8)/(G278-Inputs!$C$8))</f>
        <v>0.839590988975875</v>
      </c>
      <c r="J278" s="32" t="n">
        <f aca="false">IF(C278&lt;=Inputs!$C$12,1,0)</f>
        <v>0</v>
      </c>
    </row>
    <row r="279" customFormat="false" ht="15" hidden="false" customHeight="false" outlineLevel="0" collapsed="false">
      <c r="B279" s="30" t="n">
        <v>45873</v>
      </c>
      <c r="C279" s="25" t="n">
        <v>222.34</v>
      </c>
      <c r="D279" s="25" t="n">
        <v>39</v>
      </c>
      <c r="E279" s="25" t="n">
        <v>230.118</v>
      </c>
      <c r="F279" s="23" t="n">
        <f aca="false">IF(E279="","",IF(E279&lt;=Inputs!$C$12,Inputs!$C$14,IF(E279&gt;=Inputs!$C$13,Inputs!$C$15,Inputs!$C$11/E279))*C279)</f>
        <v>40.0212</v>
      </c>
      <c r="G279" s="25" t="n">
        <v>41.082</v>
      </c>
      <c r="H279" s="23" t="n">
        <f aca="false">IF(OR(G279="",D279=""),"",G279-D279)</f>
        <v>2.082</v>
      </c>
      <c r="I279" s="31" t="n">
        <f aca="false">IF(H279="","",(D279-Inputs!$C$8)/(G279-Inputs!$C$8))</f>
        <v>0.833199807723121</v>
      </c>
      <c r="J279" s="32" t="n">
        <f aca="false">IF(C279&lt;=Inputs!$C$12,1,0)</f>
        <v>0</v>
      </c>
    </row>
    <row r="280" customFormat="false" ht="15" hidden="false" customHeight="false" outlineLevel="0" collapsed="false">
      <c r="B280" s="30" t="n">
        <v>45874</v>
      </c>
      <c r="C280" s="25" t="n">
        <v>224.86</v>
      </c>
      <c r="D280" s="25" t="n">
        <v>39.29</v>
      </c>
      <c r="E280" s="25" t="n">
        <v>229.574</v>
      </c>
      <c r="F280" s="23" t="n">
        <f aca="false">IF(E280="","",IF(E280&lt;=Inputs!$C$12,Inputs!$C$14,IF(E280&gt;=Inputs!$C$13,Inputs!$C$15,Inputs!$C$11/E280))*C280)</f>
        <v>40.4748</v>
      </c>
      <c r="G280" s="25" t="n">
        <v>41.413</v>
      </c>
      <c r="H280" s="23" t="n">
        <f aca="false">IF(OR(G280="",D280=""),"",G280-D280)</f>
        <v>2.123</v>
      </c>
      <c r="I280" s="31" t="n">
        <f aca="false">IF(H280="","",(D280-Inputs!$C$8)/(G280-Inputs!$C$8))</f>
        <v>0.834308905018341</v>
      </c>
      <c r="J280" s="32" t="n">
        <f aca="false">IF(C280&lt;=Inputs!$C$12,1,0)</f>
        <v>0</v>
      </c>
    </row>
    <row r="281" customFormat="false" ht="15" hidden="false" customHeight="false" outlineLevel="0" collapsed="false">
      <c r="B281" s="30" t="n">
        <v>45875</v>
      </c>
      <c r="C281" s="25" t="n">
        <v>225.04</v>
      </c>
      <c r="D281" s="25" t="n">
        <v>39.6</v>
      </c>
      <c r="E281" s="25" t="n">
        <v>229.087</v>
      </c>
      <c r="F281" s="23" t="n">
        <f aca="false">IF(E281="","",IF(E281&lt;=Inputs!$C$12,Inputs!$C$14,IF(E281&gt;=Inputs!$C$13,Inputs!$C$15,Inputs!$C$11/E281))*C281)</f>
        <v>40.5072</v>
      </c>
      <c r="G281" s="25" t="n">
        <v>41.387</v>
      </c>
      <c r="H281" s="23" t="n">
        <f aca="false">IF(OR(G281="",D281=""),"",G281-D281)</f>
        <v>1.787</v>
      </c>
      <c r="I281" s="31" t="n">
        <f aca="false">IF(H281="","",(D281-Inputs!$C$8)/(G281-Inputs!$C$8))</f>
        <v>0.860248690075858</v>
      </c>
      <c r="J281" s="32" t="n">
        <f aca="false">IF(C281&lt;=Inputs!$C$12,1,0)</f>
        <v>0</v>
      </c>
    </row>
    <row r="282" customFormat="false" ht="15" hidden="false" customHeight="false" outlineLevel="0" collapsed="false">
      <c r="B282" s="30" t="n">
        <v>45876</v>
      </c>
      <c r="C282" s="25" t="n">
        <v>227.33</v>
      </c>
      <c r="D282" s="25" t="n">
        <v>39.87</v>
      </c>
      <c r="E282" s="25" t="n">
        <v>228.705</v>
      </c>
      <c r="F282" s="23" t="n">
        <f aca="false">IF(E282="","",IF(E282&lt;=Inputs!$C$12,Inputs!$C$14,IF(E282&gt;=Inputs!$C$13,Inputs!$C$15,Inputs!$C$11/E282))*C282)</f>
        <v>40.9194</v>
      </c>
      <c r="G282" s="25" t="n">
        <v>41.763</v>
      </c>
      <c r="H282" s="23" t="n">
        <f aca="false">IF(OR(G282="",D282=""),"",G282-D282)</f>
        <v>1.893</v>
      </c>
      <c r="I282" s="31" t="n">
        <f aca="false">IF(H282="","",(D282-Inputs!$C$8)/(G282-Inputs!$C$8))</f>
        <v>0.856187799133936</v>
      </c>
      <c r="J282" s="32" t="n">
        <f aca="false">IF(C282&lt;=Inputs!$C$12,1,0)</f>
        <v>0</v>
      </c>
    </row>
    <row r="283" customFormat="false" ht="15" hidden="false" customHeight="false" outlineLevel="0" collapsed="false">
      <c r="B283" s="30" t="n">
        <v>45877</v>
      </c>
      <c r="C283" s="25" t="n">
        <v>229.12</v>
      </c>
      <c r="D283" s="25" t="n">
        <v>39.9</v>
      </c>
      <c r="E283" s="25" t="n">
        <v>228.476</v>
      </c>
      <c r="F283" s="23" t="n">
        <f aca="false">IF(E283="","",IF(E283&lt;=Inputs!$C$12,Inputs!$C$14,IF(E283&gt;=Inputs!$C$13,Inputs!$C$15,Inputs!$C$11/E283))*C283)</f>
        <v>41.2416</v>
      </c>
      <c r="G283" s="25" t="n">
        <v>41.942</v>
      </c>
      <c r="H283" s="23" t="n">
        <f aca="false">IF(OR(G283="",D283=""),"",G283-D283)</f>
        <v>2.042</v>
      </c>
      <c r="I283" s="31" t="n">
        <f aca="false">IF(H283="","",(D283-Inputs!$C$8)/(G283-Inputs!$C$8))</f>
        <v>0.846949482836156</v>
      </c>
      <c r="J283" s="32" t="n">
        <f aca="false">IF(C283&lt;=Inputs!$C$12,1,0)</f>
        <v>0</v>
      </c>
    </row>
    <row r="284" customFormat="false" ht="15" hidden="false" customHeight="false" outlineLevel="0" collapsed="false">
      <c r="B284" s="30" t="n">
        <v>45880</v>
      </c>
      <c r="C284" s="25" t="n">
        <v>225.96</v>
      </c>
      <c r="D284" s="25" t="n">
        <v>39.52</v>
      </c>
      <c r="E284" s="25" t="n">
        <v>228.286</v>
      </c>
      <c r="F284" s="23" t="n">
        <f aca="false">IF(E284="","",IF(E284&lt;=Inputs!$C$12,Inputs!$C$14,IF(E284&gt;=Inputs!$C$13,Inputs!$C$15,Inputs!$C$11/E284))*C284)</f>
        <v>40.6728</v>
      </c>
      <c r="G284" s="25" t="n">
        <v>41.455</v>
      </c>
      <c r="H284" s="23" t="n">
        <f aca="false">IF(OR(G284="",D284=""),"",G284-D284)</f>
        <v>1.935</v>
      </c>
      <c r="I284" s="31" t="n">
        <f aca="false">IF(H284="","",(D284-Inputs!$C$8)/(G284-Inputs!$C$8))</f>
        <v>0.849474912485415</v>
      </c>
      <c r="J284" s="32" t="n">
        <f aca="false">IF(C284&lt;=Inputs!$C$12,1,0)</f>
        <v>0</v>
      </c>
    </row>
    <row r="285" customFormat="false" ht="15" hidden="false" customHeight="false" outlineLevel="0" collapsed="false">
      <c r="B285" s="30" t="n">
        <v>45881</v>
      </c>
      <c r="C285" s="25" t="n">
        <v>232.61</v>
      </c>
      <c r="D285" s="25" t="n">
        <v>40.51</v>
      </c>
      <c r="E285" s="25" t="n">
        <v>228.244</v>
      </c>
      <c r="F285" s="23" t="n">
        <f aca="false">IF(E285="","",IF(E285&lt;=Inputs!$C$12,Inputs!$C$14,IF(E285&gt;=Inputs!$C$13,Inputs!$C$15,Inputs!$C$11/E285))*C285)</f>
        <v>41.8698</v>
      </c>
      <c r="G285" s="25" t="n">
        <v>42.452</v>
      </c>
      <c r="H285" s="23" t="n">
        <f aca="false">IF(OR(G285="",D285=""),"",G285-D285)</f>
        <v>1.942</v>
      </c>
      <c r="I285" s="31" t="n">
        <f aca="false">IF(H285="","",(D285-Inputs!$C$8)/(G285-Inputs!$C$8))</f>
        <v>0.85980363846376</v>
      </c>
      <c r="J285" s="32" t="n">
        <f aca="false">IF(C285&lt;=Inputs!$C$12,1,0)</f>
        <v>0</v>
      </c>
    </row>
    <row r="286" customFormat="false" ht="15" hidden="false" customHeight="false" outlineLevel="0" collapsed="false">
      <c r="B286" s="30" t="n">
        <v>45882</v>
      </c>
      <c r="C286" s="25" t="n">
        <v>233.37</v>
      </c>
      <c r="D286" s="25" t="n">
        <v>40.82</v>
      </c>
      <c r="E286" s="25" t="n">
        <v>228.112</v>
      </c>
      <c r="F286" s="23" t="n">
        <f aca="false">IF(E286="","",IF(E286&lt;=Inputs!$C$12,Inputs!$C$14,IF(E286&gt;=Inputs!$C$13,Inputs!$C$15,Inputs!$C$11/E286))*C286)</f>
        <v>42.0066</v>
      </c>
      <c r="G286" s="25" t="n">
        <v>42.637</v>
      </c>
      <c r="H286" s="23" t="n">
        <f aca="false">IF(OR(G286="",D286=""),"",G286-D286)</f>
        <v>1.817</v>
      </c>
      <c r="I286" s="31" t="n">
        <f aca="false">IF(H286="","",(D286-Inputs!$C$8)/(G286-Inputs!$C$8))</f>
        <v>0.870556386692313</v>
      </c>
      <c r="J286" s="32" t="n">
        <f aca="false">IF(C286&lt;=Inputs!$C$12,1,0)</f>
        <v>0</v>
      </c>
    </row>
    <row r="287" customFormat="false" ht="15" hidden="false" customHeight="false" outlineLevel="0" collapsed="false">
      <c r="B287" s="30" t="n">
        <v>45883</v>
      </c>
      <c r="C287" s="25" t="n">
        <v>233.19</v>
      </c>
      <c r="D287" s="25" t="n">
        <v>40.89</v>
      </c>
      <c r="E287" s="25" t="n">
        <v>228.278</v>
      </c>
      <c r="F287" s="23" t="n">
        <f aca="false">IF(E287="","",IF(E287&lt;=Inputs!$C$12,Inputs!$C$14,IF(E287&gt;=Inputs!$C$13,Inputs!$C$15,Inputs!$C$11/E287))*C287)</f>
        <v>41.9742</v>
      </c>
      <c r="G287" s="25" t="n">
        <v>42.606</v>
      </c>
      <c r="H287" s="23" t="n">
        <f aca="false">IF(OR(G287="",D287=""),"",G287-D287)</f>
        <v>1.716</v>
      </c>
      <c r="I287" s="31" t="n">
        <f aca="false">IF(H287="","",(D287-Inputs!$C$8)/(G287-Inputs!$C$8))</f>
        <v>0.877481079537341</v>
      </c>
      <c r="J287" s="32" t="n">
        <f aca="false">IF(C287&lt;=Inputs!$C$12,1,0)</f>
        <v>0</v>
      </c>
    </row>
    <row r="288" customFormat="false" ht="15" hidden="false" customHeight="false" outlineLevel="0" collapsed="false">
      <c r="B288" s="30" t="n">
        <v>45884</v>
      </c>
      <c r="C288" s="25" t="n">
        <v>235.26</v>
      </c>
      <c r="D288" s="25" t="n">
        <v>41.08</v>
      </c>
      <c r="E288" s="25" t="n">
        <v>228.248</v>
      </c>
      <c r="F288" s="23" t="n">
        <f aca="false">IF(E288="","",IF(E288&lt;=Inputs!$C$12,Inputs!$C$14,IF(E288&gt;=Inputs!$C$13,Inputs!$C$15,Inputs!$C$11/E288))*C288)</f>
        <v>42.3468</v>
      </c>
      <c r="G288" s="25" t="n">
        <v>42.897</v>
      </c>
      <c r="H288" s="23" t="n">
        <f aca="false">IF(OR(G288="",D288=""),"",G288-D288)</f>
        <v>1.817</v>
      </c>
      <c r="I288" s="31" t="n">
        <f aca="false">IF(H288="","",(D288-Inputs!$C$8)/(G288-Inputs!$C$8))</f>
        <v>0.872910400783381</v>
      </c>
      <c r="J288" s="32" t="n">
        <f aca="false">IF(C288&lt;=Inputs!$C$12,1,0)</f>
        <v>0</v>
      </c>
    </row>
    <row r="289" customFormat="false" ht="15" hidden="false" customHeight="false" outlineLevel="0" collapsed="false">
      <c r="B289" s="30" t="n">
        <v>45887</v>
      </c>
      <c r="C289" s="25" t="n">
        <v>232.41</v>
      </c>
      <c r="D289" s="25" t="n">
        <v>40.58</v>
      </c>
      <c r="E289" s="25" t="n">
        <v>228.223</v>
      </c>
      <c r="F289" s="23" t="n">
        <f aca="false">IF(E289="","",IF(E289&lt;=Inputs!$C$12,Inputs!$C$14,IF(E289&gt;=Inputs!$C$13,Inputs!$C$15,Inputs!$C$11/E289))*C289)</f>
        <v>41.8338</v>
      </c>
      <c r="G289" s="25" t="n">
        <v>42.519</v>
      </c>
      <c r="H289" s="23" t="n">
        <f aca="false">IF(OR(G289="",D289=""),"",G289-D289)</f>
        <v>1.939</v>
      </c>
      <c r="I289" s="31" t="n">
        <f aca="false">IF(H289="","",(D289-Inputs!$C$8)/(G289-Inputs!$C$8))</f>
        <v>0.860694015374668</v>
      </c>
      <c r="J289" s="32" t="n">
        <f aca="false">IF(C289&lt;=Inputs!$C$12,1,0)</f>
        <v>0</v>
      </c>
    </row>
    <row r="290" customFormat="false" ht="15" hidden="false" customHeight="false" outlineLevel="0" collapsed="false">
      <c r="B290" s="30" t="n">
        <v>45888</v>
      </c>
      <c r="C290" s="25" t="n">
        <v>225</v>
      </c>
      <c r="D290" s="25" t="n">
        <v>39.75</v>
      </c>
      <c r="E290" s="25" t="n">
        <v>228.428</v>
      </c>
      <c r="F290" s="23" t="n">
        <f aca="false">IF(E290="","",IF(E290&lt;=Inputs!$C$12,Inputs!$C$14,IF(E290&gt;=Inputs!$C$13,Inputs!$C$15,Inputs!$C$11/E290))*C290)</f>
        <v>40.5</v>
      </c>
      <c r="G290" s="25" t="n">
        <v>41.453</v>
      </c>
      <c r="H290" s="23" t="n">
        <f aca="false">IF(OR(G290="",D290=""),"",G290-D290)</f>
        <v>1.703</v>
      </c>
      <c r="I290" s="31" t="n">
        <f aca="false">IF(H290="","",(D290-Inputs!$C$8)/(G290-Inputs!$C$8))</f>
        <v>0.86750175056407</v>
      </c>
      <c r="J290" s="32" t="n">
        <f aca="false">IF(C290&lt;=Inputs!$C$12,1,0)</f>
        <v>0</v>
      </c>
    </row>
    <row r="291" customFormat="false" ht="15" hidden="false" customHeight="false" outlineLevel="0" collapsed="false">
      <c r="B291" s="30" t="n">
        <v>45889</v>
      </c>
      <c r="C291" s="25" t="n">
        <v>225.62</v>
      </c>
      <c r="D291" s="25" t="n">
        <v>39.64</v>
      </c>
      <c r="E291" s="25" t="n">
        <v>228.224</v>
      </c>
      <c r="F291" s="23" t="n">
        <f aca="false">IF(E291="","",IF(E291&lt;=Inputs!$C$12,Inputs!$C$14,IF(E291&gt;=Inputs!$C$13,Inputs!$C$15,Inputs!$C$11/E291))*C291)</f>
        <v>40.6116</v>
      </c>
      <c r="G291" s="25" t="n">
        <v>41.432</v>
      </c>
      <c r="H291" s="23" t="n">
        <f aca="false">IF(OR(G291="",D291=""),"",G291-D291)</f>
        <v>1.792</v>
      </c>
      <c r="I291" s="31" t="n">
        <f aca="false">IF(H291="","",(D291-Inputs!$C$8)/(G291-Inputs!$C$8))</f>
        <v>0.860349127182045</v>
      </c>
      <c r="J291" s="32" t="n">
        <f aca="false">IF(C291&lt;=Inputs!$C$12,1,0)</f>
        <v>0</v>
      </c>
    </row>
    <row r="292" customFormat="false" ht="15" hidden="false" customHeight="false" outlineLevel="0" collapsed="false">
      <c r="B292" s="30" t="n">
        <v>45890</v>
      </c>
      <c r="C292" s="25" t="n">
        <v>224.46</v>
      </c>
      <c r="D292" s="25" t="n">
        <v>39.83</v>
      </c>
      <c r="E292" s="25" t="n">
        <v>227.479</v>
      </c>
      <c r="F292" s="23" t="n">
        <f aca="false">IF(E292="","",IF(E292&lt;=Inputs!$C$12,Inputs!$C$14,IF(E292&gt;=Inputs!$C$13,Inputs!$C$15,Inputs!$C$11/E292))*C292)</f>
        <v>40.4028</v>
      </c>
      <c r="G292" s="25" t="n">
        <v>41.327</v>
      </c>
      <c r="H292" s="23" t="n">
        <f aca="false">IF(OR(G292="",D292=""),"",G292-D292)</f>
        <v>1.497</v>
      </c>
      <c r="I292" s="31" t="n">
        <f aca="false">IF(H292="","",(D292-Inputs!$C$8)/(G292-Inputs!$C$8))</f>
        <v>0.882376050915377</v>
      </c>
      <c r="J292" s="32" t="n">
        <f aca="false">IF(C292&lt;=Inputs!$C$12,1,0)</f>
        <v>0</v>
      </c>
    </row>
    <row r="293" customFormat="false" ht="15" hidden="false" customHeight="false" outlineLevel="0" collapsed="false">
      <c r="B293" s="30" t="n">
        <v>45891</v>
      </c>
      <c r="C293" s="25" t="n">
        <v>230.12</v>
      </c>
      <c r="D293" s="25" t="n">
        <v>40.94</v>
      </c>
      <c r="E293" s="25" t="n">
        <v>227.376</v>
      </c>
      <c r="F293" s="23" t="n">
        <f aca="false">IF(E293="","",IF(E293&lt;=Inputs!$C$12,Inputs!$C$14,IF(E293&gt;=Inputs!$C$13,Inputs!$C$15,Inputs!$C$11/E293))*C293)</f>
        <v>41.4216</v>
      </c>
      <c r="G293" s="25" t="n">
        <v>42.031</v>
      </c>
      <c r="H293" s="23" t="n">
        <f aca="false">IF(OR(G293="",D293=""),"",G293-D293)</f>
        <v>1.091</v>
      </c>
      <c r="I293" s="31" t="n">
        <f aca="false">IF(H293="","",(D293-Inputs!$C$8)/(G293-Inputs!$C$8))</f>
        <v>0.918770009679101</v>
      </c>
      <c r="J293" s="32" t="n">
        <f aca="false">IF(C293&lt;=Inputs!$C$12,1,0)</f>
        <v>0</v>
      </c>
    </row>
    <row r="294" customFormat="false" ht="15" hidden="false" customHeight="false" outlineLevel="0" collapsed="false">
      <c r="B294" s="30" t="n">
        <v>45894</v>
      </c>
      <c r="C294" s="25" t="n">
        <v>226.87</v>
      </c>
      <c r="D294" s="25" t="n">
        <v>40.14</v>
      </c>
      <c r="E294" s="25" t="n">
        <v>227.634</v>
      </c>
      <c r="F294" s="23" t="n">
        <f aca="false">IF(E294="","",IF(E294&lt;=Inputs!$C$12,Inputs!$C$14,IF(E294&gt;=Inputs!$C$13,Inputs!$C$15,Inputs!$C$11/E294))*C294)</f>
        <v>40.8366</v>
      </c>
      <c r="G294" s="25" t="n">
        <v>41.558</v>
      </c>
      <c r="H294" s="23" t="n">
        <f aca="false">IF(OR(G294="",D294=""),"",G294-D294)</f>
        <v>1.418</v>
      </c>
      <c r="I294" s="31" t="n">
        <f aca="false">IF(H294="","",(D294-Inputs!$C$8)/(G294-Inputs!$C$8))</f>
        <v>0.890569532335237</v>
      </c>
      <c r="J294" s="32" t="n">
        <f aca="false">IF(C294&lt;=Inputs!$C$12,1,0)</f>
        <v>0</v>
      </c>
    </row>
    <row r="295" customFormat="false" ht="15" hidden="false" customHeight="false" outlineLevel="0" collapsed="false">
      <c r="B295" s="30" t="n">
        <v>45895</v>
      </c>
      <c r="C295" s="25" t="n">
        <v>234.83</v>
      </c>
      <c r="D295" s="25" t="n">
        <v>41.5</v>
      </c>
      <c r="E295" s="25" t="n">
        <v>228.523</v>
      </c>
      <c r="F295" s="23" t="n">
        <f aca="false">IF(E295="","",IF(E295&lt;=Inputs!$C$12,Inputs!$C$14,IF(E295&gt;=Inputs!$C$13,Inputs!$C$15,Inputs!$C$11/E295))*C295)</f>
        <v>42.2694</v>
      </c>
      <c r="G295" s="25"/>
      <c r="H295" s="23" t="str">
        <f aca="false">IF(OR(G295="",D295=""),"",G295-D295)</f>
        <v/>
      </c>
      <c r="I295" s="31" t="str">
        <f aca="false">IF(H295="","",(D295-Inputs!$C$8)/(G295-Inputs!$C$8))</f>
        <v/>
      </c>
      <c r="J295" s="32" t="n">
        <f aca="false">IF(C295&lt;=Inputs!$C$12,1,0)</f>
        <v>0</v>
      </c>
    </row>
    <row r="296" customFormat="false" ht="15" hidden="false" customHeight="false" outlineLevel="0" collapsed="false">
      <c r="B296" s="30" t="n">
        <v>45896</v>
      </c>
      <c r="C296" s="25" t="n">
        <v>235.62</v>
      </c>
      <c r="D296" s="25" t="n">
        <v>41.74</v>
      </c>
      <c r="E296" s="25" t="n">
        <v>228.98</v>
      </c>
      <c r="F296" s="23" t="n">
        <f aca="false">IF(E296="","",IF(E296&lt;=Inputs!$C$12,Inputs!$C$14,IF(E296&gt;=Inputs!$C$13,Inputs!$C$15,Inputs!$C$11/E296))*C296)</f>
        <v>42.4116</v>
      </c>
      <c r="G296" s="25"/>
      <c r="H296" s="23" t="str">
        <f aca="false">IF(OR(G296="",D296=""),"",G296-D296)</f>
        <v/>
      </c>
      <c r="I296" s="31" t="str">
        <f aca="false">IF(H296="","",(D296-Inputs!$C$8)/(G296-Inputs!$C$8))</f>
        <v/>
      </c>
      <c r="J296" s="32" t="n">
        <f aca="false">IF(C296&lt;=Inputs!$C$12,1,0)</f>
        <v>0</v>
      </c>
    </row>
    <row r="297" customFormat="false" ht="15" hidden="false" customHeight="false" outlineLevel="0" collapsed="false">
      <c r="B297" s="30" t="n">
        <v>45897</v>
      </c>
      <c r="C297" s="25" t="n">
        <v>236.16</v>
      </c>
      <c r="D297" s="25" t="n">
        <v>41.8</v>
      </c>
      <c r="E297" s="25" t="n">
        <v>229.567</v>
      </c>
      <c r="F297" s="23" t="n">
        <f aca="false">IF(E297="","",IF(E297&lt;=Inputs!$C$12,Inputs!$C$14,IF(E297&gt;=Inputs!$C$13,Inputs!$C$15,Inputs!$C$11/E297))*C297)</f>
        <v>42.5088</v>
      </c>
      <c r="G297" s="25" t="n">
        <v>42.887</v>
      </c>
      <c r="H297" s="23" t="n">
        <f aca="false">IF(OR(G297="",D297=""),"",G297-D297)</f>
        <v>1.087</v>
      </c>
      <c r="I297" s="31" t="n">
        <f aca="false">IF(H297="","",(D297-Inputs!$C$8)/(G297-Inputs!$C$8))</f>
        <v>0.923916847483726</v>
      </c>
      <c r="J297" s="32" t="n">
        <f aca="false">IF(C297&lt;=Inputs!$C$12,1,0)</f>
        <v>0</v>
      </c>
    </row>
    <row r="298" customFormat="false" ht="15" hidden="false" customHeight="false" outlineLevel="0" collapsed="false">
      <c r="B298" s="30" t="n">
        <v>45898</v>
      </c>
      <c r="C298" s="25" t="n">
        <v>234.68</v>
      </c>
      <c r="D298" s="25" t="n">
        <v>41.59</v>
      </c>
      <c r="E298" s="25" t="n">
        <v>230.011</v>
      </c>
      <c r="F298" s="23" t="n">
        <f aca="false">IF(E298="","",IF(E298&lt;=Inputs!$C$12,Inputs!$C$14,IF(E298&gt;=Inputs!$C$13,Inputs!$C$15,Inputs!$C$11/E298))*C298)</f>
        <v>42.2424</v>
      </c>
      <c r="G298" s="25" t="n">
        <v>42.804</v>
      </c>
      <c r="H298" s="23" t="n">
        <f aca="false">IF(OR(G298="",D298=""),"",G298-D298)</f>
        <v>1.214</v>
      </c>
      <c r="I298" s="31" t="n">
        <f aca="false">IF(H298="","",(D298-Inputs!$C$8)/(G298-Inputs!$C$8))</f>
        <v>0.914531117994931</v>
      </c>
      <c r="J298" s="32" t="n">
        <f aca="false">IF(C298&lt;=Inputs!$C$12,1,0)</f>
        <v>0</v>
      </c>
    </row>
    <row r="299" customFormat="false" ht="15" hidden="false" customHeight="false" outlineLevel="0" collapsed="false">
      <c r="B299" s="30" t="n">
        <v>45902</v>
      </c>
      <c r="C299" s="25" t="n">
        <v>237.38</v>
      </c>
      <c r="D299" s="25" t="n">
        <v>41.91</v>
      </c>
      <c r="E299" s="25" t="n">
        <v>230.396</v>
      </c>
      <c r="F299" s="23" t="n">
        <f aca="false">IF(E299="","",IF(E299&lt;=Inputs!$C$12,Inputs!$C$14,IF(E299&gt;=Inputs!$C$13,Inputs!$C$15,Inputs!$C$11/E299))*C299)</f>
        <v>42.7284</v>
      </c>
      <c r="G299" s="25" t="n">
        <v>43.184</v>
      </c>
      <c r="H299" s="23" t="n">
        <f aca="false">IF(OR(G299="",D299=""),"",G299-D299)</f>
        <v>1.274</v>
      </c>
      <c r="I299" s="31" t="n">
        <f aca="false">IF(H299="","",(D299-Inputs!$C$8)/(G299-Inputs!$C$8))</f>
        <v>0.912643993417444</v>
      </c>
      <c r="J299" s="32" t="n">
        <f aca="false">IF(C299&lt;=Inputs!$C$12,1,0)</f>
        <v>0</v>
      </c>
    </row>
    <row r="300" customFormat="false" ht="15" hidden="false" customHeight="false" outlineLevel="0" collapsed="false">
      <c r="B300" s="30" t="n">
        <v>45903</v>
      </c>
      <c r="C300" s="25" t="n">
        <v>232.38</v>
      </c>
      <c r="D300" s="25" t="n">
        <v>41.27</v>
      </c>
      <c r="E300" s="25" t="n">
        <v>230.721</v>
      </c>
      <c r="F300" s="23" t="n">
        <f aca="false">IF(E300="","",IF(E300&lt;=Inputs!$C$12,Inputs!$C$14,IF(E300&gt;=Inputs!$C$13,Inputs!$C$15,Inputs!$C$11/E300))*C300)</f>
        <v>41.8284</v>
      </c>
      <c r="G300" s="25" t="n">
        <v>42.365</v>
      </c>
      <c r="H300" s="23" t="n">
        <f aca="false">IF(OR(G300="",D300=""),"",G300-D300)</f>
        <v>1.095</v>
      </c>
      <c r="I300" s="31" t="n">
        <f aca="false">IF(H300="","",(D300-Inputs!$C$8)/(G300-Inputs!$C$8))</f>
        <v>0.920450417726117</v>
      </c>
      <c r="J300" s="32" t="n">
        <f aca="false">IF(C300&lt;=Inputs!$C$12,1,0)</f>
        <v>0</v>
      </c>
    </row>
    <row r="301" customFormat="false" ht="15" hidden="false" customHeight="false" outlineLevel="0" collapsed="false">
      <c r="B301" s="30" t="n">
        <v>45904</v>
      </c>
      <c r="C301" s="25" t="n">
        <v>230.75</v>
      </c>
      <c r="D301" s="25" t="n">
        <v>41.18</v>
      </c>
      <c r="E301" s="25" t="n">
        <v>231.239</v>
      </c>
      <c r="F301" s="23" t="n">
        <f aca="false">IF(E301="","",IF(E301&lt;=Inputs!$C$12,Inputs!$C$14,IF(E301&gt;=Inputs!$C$13,Inputs!$C$15,Inputs!$C$11/E301))*C301)</f>
        <v>41.535</v>
      </c>
      <c r="G301" s="25" t="n">
        <v>42.094</v>
      </c>
      <c r="H301" s="23" t="n">
        <f aca="false">IF(OR(G301="",D301=""),"",G301-D301)</f>
        <v>0.914000000000002</v>
      </c>
      <c r="I301" s="31" t="n">
        <f aca="false">IF(H301="","",(D301-Inputs!$C$8)/(G301-Inputs!$C$8))</f>
        <v>0.932266192381799</v>
      </c>
      <c r="J301" s="32" t="n">
        <f aca="false">IF(C301&lt;=Inputs!$C$12,1,0)</f>
        <v>0</v>
      </c>
    </row>
    <row r="302" customFormat="false" ht="15" hidden="false" customHeight="false" outlineLevel="0" collapsed="false">
      <c r="B302" s="30" t="n">
        <v>45905</v>
      </c>
      <c r="C302" s="25" t="n">
        <v>229.61</v>
      </c>
      <c r="D302" s="25" t="n">
        <v>40.84</v>
      </c>
      <c r="E302" s="25" t="n">
        <v>231.431</v>
      </c>
      <c r="F302" s="23" t="n">
        <f aca="false">IF(E302="","",IF(E302&lt;=Inputs!$C$12,Inputs!$C$14,IF(E302&gt;=Inputs!$C$13,Inputs!$C$15,Inputs!$C$11/E302))*C302)</f>
        <v>41.3298</v>
      </c>
      <c r="G302" s="25" t="n">
        <v>42.009</v>
      </c>
      <c r="H302" s="23" t="n">
        <f aca="false">IF(OR(G302="",D302=""),"",G302-D302)</f>
        <v>1.169</v>
      </c>
      <c r="I302" s="31" t="n">
        <f aca="false">IF(H302="","",(D302-Inputs!$C$8)/(G302-Inputs!$C$8))</f>
        <v>0.912819747930495</v>
      </c>
      <c r="J302" s="32" t="n">
        <f aca="false">IF(C302&lt;=Inputs!$C$12,1,0)</f>
        <v>0</v>
      </c>
    </row>
    <row r="303" customFormat="false" ht="15" hidden="false" customHeight="false" outlineLevel="0" collapsed="false">
      <c r="B303" s="30" t="n">
        <v>45908</v>
      </c>
      <c r="C303" s="25" t="n">
        <v>230.95</v>
      </c>
      <c r="D303" s="25" t="n">
        <v>41.07</v>
      </c>
      <c r="E303" s="25" t="n">
        <v>231.315</v>
      </c>
      <c r="F303" s="23" t="n">
        <f aca="false">IF(E303="","",IF(E303&lt;=Inputs!$C$12,Inputs!$C$14,IF(E303&gt;=Inputs!$C$13,Inputs!$C$15,Inputs!$C$11/E303))*C303)</f>
        <v>41.571</v>
      </c>
      <c r="G303" s="25" t="n">
        <v>42.293</v>
      </c>
      <c r="H303" s="23" t="n">
        <f aca="false">IF(OR(G303="",D303=""),"",G303-D303)</f>
        <v>1.223</v>
      </c>
      <c r="I303" s="31" t="n">
        <f aca="false">IF(H303="","",(D303-Inputs!$C$8)/(G303-Inputs!$C$8))</f>
        <v>0.910684291243701</v>
      </c>
      <c r="J303" s="32" t="n">
        <f aca="false">IF(C303&lt;=Inputs!$C$12,1,0)</f>
        <v>0</v>
      </c>
    </row>
    <row r="304" customFormat="false" ht="15" hidden="false" customHeight="false" outlineLevel="0" collapsed="false">
      <c r="B304" s="30" t="n">
        <v>45909</v>
      </c>
      <c r="C304" s="25" t="n">
        <v>229.52</v>
      </c>
      <c r="D304" s="25" t="n">
        <v>40.87</v>
      </c>
      <c r="E304" s="25" t="n">
        <v>231.046</v>
      </c>
      <c r="F304" s="23" t="n">
        <f aca="false">IF(E304="","",IF(E304&lt;=Inputs!$C$12,Inputs!$C$14,IF(E304&gt;=Inputs!$C$13,Inputs!$C$15,Inputs!$C$11/E304))*C304)</f>
        <v>41.3136</v>
      </c>
      <c r="G304" s="25" t="n">
        <v>42.083</v>
      </c>
      <c r="H304" s="23" t="n">
        <f aca="false">IF(OR(G304="",D304=""),"",G304-D304)</f>
        <v>1.213</v>
      </c>
      <c r="I304" s="31" t="n">
        <f aca="false">IF(H304="","",(D304-Inputs!$C$8)/(G304-Inputs!$C$8))</f>
        <v>0.910034858710969</v>
      </c>
      <c r="J304" s="32" t="n">
        <f aca="false">IF(C304&lt;=Inputs!$C$12,1,0)</f>
        <v>0</v>
      </c>
    </row>
    <row r="305" customFormat="false" ht="15" hidden="false" customHeight="false" outlineLevel="0" collapsed="false">
      <c r="B305" s="30" t="n">
        <v>45910</v>
      </c>
      <c r="C305" s="25" t="n">
        <v>227.52</v>
      </c>
      <c r="D305" s="25" t="n">
        <v>40.58</v>
      </c>
      <c r="E305" s="25" t="n">
        <v>230.782</v>
      </c>
      <c r="F305" s="23" t="n">
        <f aca="false">IF(E305="","",IF(E305&lt;=Inputs!$C$12,Inputs!$C$14,IF(E305&gt;=Inputs!$C$13,Inputs!$C$15,Inputs!$C$11/E305))*C305)</f>
        <v>40.9536</v>
      </c>
      <c r="G305" s="25" t="n">
        <v>41.74</v>
      </c>
      <c r="H305" s="23" t="n">
        <f aca="false">IF(OR(G305="",D305=""),"",G305-D305)</f>
        <v>1.16</v>
      </c>
      <c r="I305" s="31" t="n">
        <f aca="false">IF(H305="","",(D305-Inputs!$C$8)/(G305-Inputs!$C$8))</f>
        <v>0.911719939117199</v>
      </c>
      <c r="J305" s="32" t="n">
        <f aca="false">IF(C305&lt;=Inputs!$C$12,1,0)</f>
        <v>0</v>
      </c>
    </row>
    <row r="306" customFormat="false" ht="15" hidden="false" customHeight="false" outlineLevel="0" collapsed="false">
      <c r="B306" s="30" t="n">
        <v>45911</v>
      </c>
      <c r="C306" s="25" t="n">
        <v>219.99</v>
      </c>
      <c r="D306" s="25" t="n">
        <v>39.24</v>
      </c>
      <c r="E306" s="25" t="n">
        <v>230.606</v>
      </c>
      <c r="F306" s="23" t="n">
        <f aca="false">IF(E306="","",IF(E306&lt;=Inputs!$C$12,Inputs!$C$14,IF(E306&gt;=Inputs!$C$13,Inputs!$C$15,Inputs!$C$11/E306))*C306)</f>
        <v>39.5982</v>
      </c>
      <c r="G306" s="25" t="n">
        <v>40.741</v>
      </c>
      <c r="H306" s="23" t="n">
        <f aca="false">IF(OR(G306="",D306=""),"",G306-D306)</f>
        <v>1.501</v>
      </c>
      <c r="I306" s="31" t="n">
        <f aca="false">IF(H306="","",(D306-Inputs!$C$8)/(G306-Inputs!$C$8))</f>
        <v>0.876369327073553</v>
      </c>
      <c r="J306" s="32" t="n">
        <f aca="false">IF(C306&lt;=Inputs!$C$12,1,0)</f>
        <v>0</v>
      </c>
    </row>
    <row r="307" customFormat="false" ht="15" hidden="false" customHeight="false" outlineLevel="0" collapsed="false">
      <c r="B307" s="30" t="n">
        <v>45912</v>
      </c>
      <c r="C307" s="25" t="n">
        <v>215.94</v>
      </c>
      <c r="D307" s="25" t="n">
        <v>38.7</v>
      </c>
      <c r="E307" s="25" t="n">
        <v>230.831</v>
      </c>
      <c r="F307" s="23" t="n">
        <f aca="false">IF(E307="","",IF(E307&lt;=Inputs!$C$12,Inputs!$C$14,IF(E307&gt;=Inputs!$C$13,Inputs!$C$15,Inputs!$C$11/E307))*C307)</f>
        <v>38.8692</v>
      </c>
      <c r="G307" s="25" t="n">
        <v>40.179</v>
      </c>
      <c r="H307" s="23" t="n">
        <f aca="false">IF(OR(G307="",D307=""),"",G307-D307)</f>
        <v>1.479</v>
      </c>
      <c r="I307" s="31" t="n">
        <f aca="false">IF(H307="","",(D307-Inputs!$C$8)/(G307-Inputs!$C$8))</f>
        <v>0.872268762414716</v>
      </c>
      <c r="J307" s="32" t="n">
        <f aca="false">IF(C307&lt;=Inputs!$C$12,1,0)</f>
        <v>0</v>
      </c>
    </row>
    <row r="308" customFormat="false" ht="15" hidden="false" customHeight="false" outlineLevel="0" collapsed="false">
      <c r="B308" s="30" t="n">
        <v>45915</v>
      </c>
      <c r="C308" s="25" t="n">
        <v>215.75</v>
      </c>
      <c r="D308" s="25" t="n">
        <v>38.73</v>
      </c>
      <c r="E308" s="25" t="n">
        <v>230.144</v>
      </c>
      <c r="F308" s="23" t="n">
        <f aca="false">IF(E308="","",IF(E308&lt;=Inputs!$C$12,Inputs!$C$14,IF(E308&gt;=Inputs!$C$13,Inputs!$C$15,Inputs!$C$11/E308))*C308)</f>
        <v>38.835</v>
      </c>
      <c r="G308" s="25" t="n">
        <v>40.01</v>
      </c>
      <c r="H308" s="23" t="n">
        <f aca="false">IF(OR(G308="",D308=""),"",G308-D308)</f>
        <v>1.28</v>
      </c>
      <c r="I308" s="31" t="n">
        <f aca="false">IF(H308="","",(D308-Inputs!$C$8)/(G308-Inputs!$C$8))</f>
        <v>0.887817703768624</v>
      </c>
      <c r="J308" s="32" t="n">
        <f aca="false">IF(C308&lt;=Inputs!$C$12,1,0)</f>
        <v>0</v>
      </c>
    </row>
    <row r="309" customFormat="false" ht="15" hidden="false" customHeight="false" outlineLevel="0" collapsed="false">
      <c r="B309" s="30" t="n">
        <v>45916</v>
      </c>
      <c r="C309" s="25" t="n">
        <v>215.02</v>
      </c>
      <c r="D309" s="25" t="n">
        <v>38.61</v>
      </c>
      <c r="E309" s="25" t="n">
        <v>228.994</v>
      </c>
      <c r="F309" s="23" t="n">
        <f aca="false">IF(E309="","",IF(E309&lt;=Inputs!$C$12,Inputs!$C$14,IF(E309&gt;=Inputs!$C$13,Inputs!$C$15,Inputs!$C$11/E309))*C309)</f>
        <v>38.7036</v>
      </c>
      <c r="G309" s="25" t="n">
        <v>39.951</v>
      </c>
      <c r="H309" s="23" t="n">
        <f aca="false">IF(OR(G309="",D309=""),"",G309-D309)</f>
        <v>1.341</v>
      </c>
      <c r="I309" s="31" t="n">
        <f aca="false">IF(H309="","",(D309-Inputs!$C$8)/(G309-Inputs!$C$8))</f>
        <v>0.88186062901947</v>
      </c>
      <c r="J309" s="32" t="n">
        <f aca="false">IF(C309&lt;=Inputs!$C$12,1,0)</f>
        <v>0</v>
      </c>
    </row>
    <row r="310" customFormat="false" ht="15" hidden="false" customHeight="false" outlineLevel="0" collapsed="false">
      <c r="B310" s="30" t="n">
        <v>45917</v>
      </c>
      <c r="C310" s="25" t="n">
        <v>214.63</v>
      </c>
      <c r="D310" s="25" t="n">
        <v>38.56</v>
      </c>
      <c r="E310" s="25" t="n">
        <v>227.986</v>
      </c>
      <c r="F310" s="23" t="n">
        <f aca="false">IF(E310="","",IF(E310&lt;=Inputs!$C$12,Inputs!$C$14,IF(E310&gt;=Inputs!$C$13,Inputs!$C$15,Inputs!$C$11/E310))*C310)</f>
        <v>38.6334</v>
      </c>
      <c r="G310" s="25" t="n">
        <v>39.918</v>
      </c>
      <c r="H310" s="23" t="n">
        <f aca="false">IF(OR(G310="",D310=""),"",G310-D310)</f>
        <v>1.358</v>
      </c>
      <c r="I310" s="31" t="n">
        <f aca="false">IF(H310="","",(D310-Inputs!$C$8)/(G310-Inputs!$C$8))</f>
        <v>0.880014136773282</v>
      </c>
      <c r="J310" s="32" t="n">
        <f aca="false">IF(C310&lt;=Inputs!$C$12,1,0)</f>
        <v>0</v>
      </c>
    </row>
    <row r="311" customFormat="false" ht="15" hidden="false" customHeight="false" outlineLevel="0" collapsed="false">
      <c r="B311" s="30" t="n">
        <v>45918</v>
      </c>
      <c r="C311" s="25" t="n">
        <v>215.66</v>
      </c>
      <c r="D311" s="25" t="n">
        <v>38.6</v>
      </c>
      <c r="E311" s="25" t="n">
        <v>227.175</v>
      </c>
      <c r="F311" s="23" t="n">
        <f aca="false">IF(E311="","",IF(E311&lt;=Inputs!$C$12,Inputs!$C$14,IF(E311&gt;=Inputs!$C$13,Inputs!$C$15,Inputs!$C$11/E311))*C311)</f>
        <v>38.8188</v>
      </c>
      <c r="G311" s="25" t="n">
        <v>40.124</v>
      </c>
      <c r="H311" s="23" t="n">
        <f aca="false">IF(OR(G311="",D311=""),"",G311-D311)</f>
        <v>1.524</v>
      </c>
      <c r="I311" s="31" t="n">
        <f aca="false">IF(H311="","",(D311-Inputs!$C$8)/(G311-Inputs!$C$8))</f>
        <v>0.867754251995835</v>
      </c>
      <c r="J311" s="32" t="n">
        <f aca="false">IF(C311&lt;=Inputs!$C$12,1,0)</f>
        <v>0</v>
      </c>
    </row>
    <row r="312" customFormat="false" ht="15" hidden="false" customHeight="false" outlineLevel="0" collapsed="false">
      <c r="B312" s="30" t="n">
        <v>45919</v>
      </c>
      <c r="C312" s="25" t="n">
        <v>215.65</v>
      </c>
      <c r="D312" s="25" t="n">
        <v>38.53</v>
      </c>
      <c r="E312" s="25" t="n">
        <v>226.03</v>
      </c>
      <c r="F312" s="23" t="n">
        <f aca="false">IF(E312="","",IF(E312&lt;=Inputs!$C$12,Inputs!$C$14,IF(E312&gt;=Inputs!$C$13,Inputs!$C$15,Inputs!$C$11/E312))*C312)</f>
        <v>38.817</v>
      </c>
      <c r="G312" s="25" t="n">
        <v>40.058</v>
      </c>
      <c r="H312" s="23" t="n">
        <f aca="false">IF(OR(G312="",D312=""),"",G312-D312)</f>
        <v>1.528</v>
      </c>
      <c r="I312" s="31" t="n">
        <f aca="false">IF(H312="","",(D312-Inputs!$C$8)/(G312-Inputs!$C$8))</f>
        <v>0.86664339326235</v>
      </c>
      <c r="J312" s="32" t="n">
        <f aca="false">IF(C312&lt;=Inputs!$C$12,1,0)</f>
        <v>0</v>
      </c>
    </row>
    <row r="313" customFormat="false" ht="15" hidden="false" customHeight="false" outlineLevel="0" collapsed="false">
      <c r="B313" s="30" t="n">
        <v>45922</v>
      </c>
      <c r="C313" s="25" t="n">
        <v>212.09</v>
      </c>
      <c r="D313" s="25" t="n">
        <v>38.16</v>
      </c>
      <c r="E313" s="25" t="n">
        <v>224.931</v>
      </c>
      <c r="F313" s="23" t="n">
        <f aca="false">IF(E313="","",IF(E313&lt;=Inputs!$C$12,Inputs!$C$14,IF(E313&gt;=Inputs!$C$13,Inputs!$C$15,Inputs!$C$11/E313))*C313)</f>
        <v>38.1762</v>
      </c>
      <c r="G313" s="25" t="n">
        <v>39.647</v>
      </c>
      <c r="H313" s="23" t="n">
        <f aca="false">IF(OR(G313="",D313=""),"",G313-D313)</f>
        <v>1.487</v>
      </c>
      <c r="I313" s="31" t="n">
        <f aca="false">IF(H313="","",(D313-Inputs!$C$8)/(G313-Inputs!$C$8))</f>
        <v>0.865393319453245</v>
      </c>
      <c r="J313" s="32" t="n">
        <f aca="false">IF(C313&lt;=Inputs!$C$12,1,0)</f>
        <v>0</v>
      </c>
    </row>
    <row r="314" customFormat="false" ht="15" hidden="false" customHeight="false" outlineLevel="0" collapsed="false">
      <c r="B314" s="30" t="n">
        <v>45923</v>
      </c>
      <c r="C314" s="25" t="n">
        <v>216.34</v>
      </c>
      <c r="D314" s="25" t="n">
        <v>38.89</v>
      </c>
      <c r="E314" s="25" t="n">
        <v>223.582</v>
      </c>
      <c r="F314" s="23" t="n">
        <f aca="false">IF(E314="","",IF(E314&lt;=Inputs!$C$12,Inputs!$C$14,IF(E314&gt;=Inputs!$C$13,Inputs!$C$15,Inputs!$C$11/E314))*C314)</f>
        <v>38.9412</v>
      </c>
      <c r="G314" s="25" t="n">
        <v>40.245</v>
      </c>
      <c r="H314" s="23" t="n">
        <f aca="false">IF(OR(G314="",D314=""),"",G314-D314)</f>
        <v>1.355</v>
      </c>
      <c r="I314" s="31" t="n">
        <f aca="false">IF(H314="","",(D314-Inputs!$C$8)/(G314-Inputs!$C$8))</f>
        <v>0.88364104765994</v>
      </c>
      <c r="J314" s="32" t="n">
        <f aca="false">IF(C314&lt;=Inputs!$C$12,1,0)</f>
        <v>0</v>
      </c>
    </row>
    <row r="315" customFormat="false" ht="15" hidden="false" customHeight="false" outlineLevel="0" collapsed="false">
      <c r="B315" s="30" t="n">
        <v>45924</v>
      </c>
      <c r="C315" s="25" t="n">
        <v>215.1</v>
      </c>
      <c r="D315" s="25" t="n">
        <v>38.53</v>
      </c>
      <c r="E315" s="25" t="n">
        <v>222.314</v>
      </c>
      <c r="F315" s="23" t="n">
        <f aca="false">IF(E315="","",IF(E315&lt;=Inputs!$C$12,Inputs!$C$14,IF(E315&gt;=Inputs!$C$13,Inputs!$C$15,Inputs!$C$11/E315))*C315)</f>
        <v>38.718</v>
      </c>
      <c r="G315" s="25" t="n">
        <v>40.048</v>
      </c>
      <c r="H315" s="23" t="n">
        <f aca="false">IF(OR(G315="",D315=""),"",G315-D315)</f>
        <v>1.518</v>
      </c>
      <c r="I315" s="31" t="n">
        <f aca="false">IF(H315="","",(D315-Inputs!$C$8)/(G315-Inputs!$C$8))</f>
        <v>0.867400419287212</v>
      </c>
      <c r="J315" s="32" t="n">
        <f aca="false">IF(C315&lt;=Inputs!$C$12,1,0)</f>
        <v>0</v>
      </c>
    </row>
    <row r="316" customFormat="false" ht="15" hidden="false" customHeight="false" outlineLevel="0" collapsed="false">
      <c r="B316" s="30" t="n">
        <v>45925</v>
      </c>
      <c r="C316" s="25" t="n">
        <v>213.53</v>
      </c>
      <c r="D316" s="25" t="n">
        <v>38.36</v>
      </c>
      <c r="E316" s="25" t="n">
        <v>220.957</v>
      </c>
      <c r="F316" s="23" t="n">
        <f aca="false">IF(E316="","",IF(E316&lt;=Inputs!$C$12,Inputs!$C$14,IF(E316&gt;=Inputs!$C$13,Inputs!$C$15,Inputs!$C$11/E316))*C316)</f>
        <v>38.4354</v>
      </c>
      <c r="G316" s="25" t="n">
        <v>39.851</v>
      </c>
      <c r="H316" s="23" t="n">
        <f aca="false">IF(OR(G316="",D316=""),"",G316-D316)</f>
        <v>1.491</v>
      </c>
      <c r="I316" s="31" t="n">
        <f aca="false">IF(H316="","",(D316-Inputs!$C$8)/(G316-Inputs!$C$8))</f>
        <v>0.867478446360324</v>
      </c>
      <c r="J316" s="32" t="n">
        <f aca="false">IF(C316&lt;=Inputs!$C$12,1,0)</f>
        <v>0</v>
      </c>
    </row>
    <row r="317" customFormat="false" ht="15" hidden="false" customHeight="false" outlineLevel="0" collapsed="false">
      <c r="B317" s="30" t="n">
        <v>45926</v>
      </c>
      <c r="C317" s="25" t="n">
        <v>221.26</v>
      </c>
      <c r="D317" s="25" t="n">
        <v>39.65</v>
      </c>
      <c r="E317" s="25" t="n">
        <v>219.997</v>
      </c>
      <c r="F317" s="23" t="n">
        <f aca="false">IF(E317="","",IF(E317&lt;=Inputs!$C$12,Inputs!$C$14,IF(E317&gt;=Inputs!$C$13,Inputs!$C$15,Inputs!$C$11/E317))*C317)</f>
        <v>39.8268</v>
      </c>
      <c r="G317" s="25" t="n">
        <v>40.776</v>
      </c>
      <c r="H317" s="23" t="n">
        <f aca="false">IF(OR(G317="",D317=""),"",G317-D317)</f>
        <v>1.126</v>
      </c>
      <c r="I317" s="31" t="n">
        <f aca="false">IF(H317="","",(D317-Inputs!$C$8)/(G317-Inputs!$C$8))</f>
        <v>0.907522996057818</v>
      </c>
      <c r="J317" s="32" t="n">
        <f aca="false">IF(C317&lt;=Inputs!$C$12,1,0)</f>
        <v>0</v>
      </c>
    </row>
    <row r="318" customFormat="false" ht="15" hidden="false" customHeight="false" outlineLevel="0" collapsed="false">
      <c r="B318" s="30" t="n">
        <v>45929</v>
      </c>
      <c r="C318" s="25" t="n">
        <v>217.08</v>
      </c>
      <c r="D318" s="25" t="n">
        <v>38.83</v>
      </c>
      <c r="E318" s="25" t="n">
        <v>219.285</v>
      </c>
      <c r="F318" s="23" t="n">
        <f aca="false">IF(E318="","",IF(E318&lt;=Inputs!$C$12,Inputs!$C$14,IF(E318&gt;=Inputs!$C$13,Inputs!$C$15,Inputs!$C$11/E318))*C318)</f>
        <v>39.0744</v>
      </c>
      <c r="G318" s="25" t="n">
        <v>40.218</v>
      </c>
      <c r="H318" s="23" t="n">
        <f aca="false">IF(OR(G318="",D318=""),"",G318-D318)</f>
        <v>1.38800000000001</v>
      </c>
      <c r="I318" s="31" t="n">
        <f aca="false">IF(H318="","",(D318-Inputs!$C$8)/(G318-Inputs!$C$8))</f>
        <v>0.880530211740402</v>
      </c>
      <c r="J318" s="32" t="n">
        <f aca="false">IF(C318&lt;=Inputs!$C$12,1,0)</f>
        <v>0</v>
      </c>
    </row>
    <row r="319" customFormat="false" ht="15" hidden="false" customHeight="false" outlineLevel="0" collapsed="false">
      <c r="B319" s="30" t="n">
        <v>45930</v>
      </c>
      <c r="C319" s="25" t="n">
        <v>215.83</v>
      </c>
      <c r="D319" s="25" t="n">
        <v>38.6</v>
      </c>
      <c r="E319" s="25" t="n">
        <v>218.95</v>
      </c>
      <c r="F319" s="23" t="n">
        <f aca="false">IF(E319="","",IF(E319&lt;=Inputs!$C$12,Inputs!$C$14,IF(E319&gt;=Inputs!$C$13,Inputs!$C$15,Inputs!$C$11/E319))*C319)</f>
        <v>38.8494</v>
      </c>
      <c r="G319" s="25" t="n">
        <v>40.034</v>
      </c>
      <c r="H319" s="23" t="n">
        <f aca="false">IF(OR(G319="",D319=""),"",G319-D319)</f>
        <v>1.434</v>
      </c>
      <c r="I319" s="31" t="n">
        <f aca="false">IF(H319="","",(D319-Inputs!$C$8)/(G319-Inputs!$C$8))</f>
        <v>0.874584572328144</v>
      </c>
      <c r="J319" s="32" t="n">
        <f aca="false">IF(C319&lt;=Inputs!$C$12,1,0)</f>
        <v>0</v>
      </c>
    </row>
    <row r="320" customFormat="false" ht="15" hidden="false" customHeight="false" outlineLevel="0" collapsed="false">
      <c r="B320" s="30" t="n">
        <v>45931</v>
      </c>
      <c r="C320" s="25" t="n">
        <v>215.2</v>
      </c>
      <c r="D320" s="25" t="n">
        <v>38.5</v>
      </c>
      <c r="E320" s="25" t="n">
        <v>218.383</v>
      </c>
      <c r="F320" s="23" t="n">
        <f aca="false">IF(E320="","",IF(E320&lt;=Inputs!$C$12,Inputs!$C$14,IF(E320&gt;=Inputs!$C$13,Inputs!$C$15,Inputs!$C$11/E320))*C320)</f>
        <v>38.736</v>
      </c>
      <c r="G320" s="25" t="n">
        <v>39.918</v>
      </c>
      <c r="H320" s="23" t="n">
        <f aca="false">IF(OR(G320="",D320=""),"",G320-D320)</f>
        <v>1.418</v>
      </c>
      <c r="I320" s="31" t="n">
        <f aca="false">IF(H320="","",(D320-Inputs!$C$8)/(G320-Inputs!$C$8))</f>
        <v>0.87471284679272</v>
      </c>
      <c r="J320" s="32" t="n">
        <f aca="false">IF(C320&lt;=Inputs!$C$12,1,0)</f>
        <v>0</v>
      </c>
    </row>
    <row r="321" customFormat="false" ht="15" hidden="false" customHeight="false" outlineLevel="0" collapsed="false">
      <c r="B321" s="30" t="n">
        <v>45932</v>
      </c>
      <c r="C321" s="25" t="n">
        <v>217.43</v>
      </c>
      <c r="D321" s="25" t="n">
        <v>39.12</v>
      </c>
      <c r="E321" s="25" t="n">
        <v>217.71</v>
      </c>
      <c r="F321" s="23" t="n">
        <f aca="false">IF(E321="","",IF(E321&lt;=Inputs!$C$12,Inputs!$C$14,IF(E321&gt;=Inputs!$C$13,Inputs!$C$15,Inputs!$C$11/E321))*C321)</f>
        <v>39.1374</v>
      </c>
      <c r="G321" s="25" t="n">
        <v>40.139</v>
      </c>
      <c r="H321" s="23" t="n">
        <f aca="false">IF(OR(G321="",D321=""),"",G321-D321)</f>
        <v>1.01900000000001</v>
      </c>
      <c r="I321" s="31" t="n">
        <f aca="false">IF(H321="","",(D321-Inputs!$C$8)/(G321-Inputs!$C$8))</f>
        <v>0.911690787763237</v>
      </c>
      <c r="J321" s="32" t="n">
        <f aca="false">IF(C321&lt;=Inputs!$C$12,1,0)</f>
        <v>0</v>
      </c>
    </row>
    <row r="322" customFormat="false" ht="15" hidden="false" customHeight="false" outlineLevel="0" collapsed="false">
      <c r="B322" s="30" t="n">
        <v>45933</v>
      </c>
      <c r="C322" s="25" t="n">
        <v>216.3</v>
      </c>
      <c r="D322" s="25" t="n">
        <v>38.81</v>
      </c>
      <c r="E322" s="25" t="n">
        <v>217.192</v>
      </c>
      <c r="F322" s="23" t="n">
        <f aca="false">IF(E322="","",IF(E322&lt;=Inputs!$C$12,Inputs!$C$14,IF(E322&gt;=Inputs!$C$13,Inputs!$C$15,Inputs!$C$11/E322))*C322)</f>
        <v>38.934</v>
      </c>
      <c r="G322" s="25" t="n">
        <v>39.997</v>
      </c>
      <c r="H322" s="23" t="n">
        <f aca="false">IF(OR(G322="",D322=""),"",G322-D322)</f>
        <v>1.187</v>
      </c>
      <c r="I322" s="31" t="n">
        <f aca="false">IF(H322="","",(D322-Inputs!$C$8)/(G322-Inputs!$C$8))</f>
        <v>0.895849785031149</v>
      </c>
      <c r="J322" s="32" t="n">
        <f aca="false">IF(C322&lt;=Inputs!$C$12,1,0)</f>
        <v>0</v>
      </c>
    </row>
    <row r="323" customFormat="false" ht="15" hidden="false" customHeight="false" outlineLevel="0" collapsed="false">
      <c r="B323" s="30" t="n">
        <v>45936</v>
      </c>
      <c r="C323" s="25" t="n">
        <v>219.73</v>
      </c>
      <c r="D323" s="25" t="n">
        <v>39.37</v>
      </c>
      <c r="E323" s="25" t="n">
        <v>216.665</v>
      </c>
      <c r="F323" s="23" t="n">
        <f aca="false">IF(E323="","",IF(E323&lt;=Inputs!$C$12,Inputs!$C$14,IF(E323&gt;=Inputs!$C$13,Inputs!$C$15,Inputs!$C$11/E323))*C323)</f>
        <v>39.5514</v>
      </c>
      <c r="G323" s="25" t="n">
        <v>40.444</v>
      </c>
      <c r="H323" s="23" t="n">
        <f aca="false">IF(OR(G323="",D323=""),"",G323-D323)</f>
        <v>1.07400000000001</v>
      </c>
      <c r="I323" s="31" t="n">
        <f aca="false">IF(H323="","",(D323-Inputs!$C$8)/(G323-Inputs!$C$8))</f>
        <v>0.909321175278622</v>
      </c>
      <c r="J323" s="32" t="n">
        <f aca="false">IF(C323&lt;=Inputs!$C$12,1,0)</f>
        <v>0</v>
      </c>
    </row>
    <row r="324" customFormat="false" ht="15" hidden="false" customHeight="false" outlineLevel="0" collapsed="false">
      <c r="B324" s="30" t="n">
        <v>45937</v>
      </c>
      <c r="C324" s="25" t="n">
        <v>221.82</v>
      </c>
      <c r="D324" s="25" t="n">
        <v>39.58</v>
      </c>
      <c r="E324" s="25" t="n">
        <v>216.625</v>
      </c>
      <c r="F324" s="23" t="n">
        <f aca="false">IF(E324="","",IF(E324&lt;=Inputs!$C$12,Inputs!$C$14,IF(E324&gt;=Inputs!$C$13,Inputs!$C$15,Inputs!$C$11/E324))*C324)</f>
        <v>39.9276</v>
      </c>
      <c r="G324" s="25" t="n">
        <v>40.761</v>
      </c>
      <c r="H324" s="23" t="n">
        <f aca="false">IF(OR(G324="",D324=""),"",G324-D324)</f>
        <v>1.181</v>
      </c>
      <c r="I324" s="31" t="n">
        <f aca="false">IF(H324="","",(D324-Inputs!$C$8)/(G324-Inputs!$C$8))</f>
        <v>0.902886275799687</v>
      </c>
      <c r="J324" s="32" t="n">
        <f aca="false">IF(C324&lt;=Inputs!$C$12,1,0)</f>
        <v>0</v>
      </c>
    </row>
    <row r="325" customFormat="false" ht="15" hidden="false" customHeight="false" outlineLevel="0" collapsed="false">
      <c r="B325" s="30" t="n">
        <v>45938</v>
      </c>
      <c r="C325" s="25" t="n">
        <v>225.32</v>
      </c>
      <c r="D325" s="25" t="n">
        <v>40.31</v>
      </c>
      <c r="E325" s="25" t="n">
        <v>216.821</v>
      </c>
      <c r="F325" s="23" t="n">
        <f aca="false">IF(E325="","",IF(E325&lt;=Inputs!$C$12,Inputs!$C$14,IF(E325&gt;=Inputs!$C$13,Inputs!$C$15,Inputs!$C$11/E325))*C325)</f>
        <v>40.5576</v>
      </c>
      <c r="G325" s="25" t="n">
        <v>41.229</v>
      </c>
      <c r="H325" s="23" t="n">
        <f aca="false">IF(OR(G325="",D325=""),"",G325-D325)</f>
        <v>0.918999999999997</v>
      </c>
      <c r="I325" s="31" t="n">
        <f aca="false">IF(H325="","",(D325-Inputs!$C$8)/(G325-Inputs!$C$8))</f>
        <v>0.927230976324333</v>
      </c>
      <c r="J325" s="32" t="n">
        <f aca="false">IF(C325&lt;=Inputs!$C$12,1,0)</f>
        <v>0</v>
      </c>
    </row>
    <row r="326" customFormat="false" ht="15" hidden="false" customHeight="false" outlineLevel="0" collapsed="false">
      <c r="B326" s="30" t="n">
        <v>45939</v>
      </c>
      <c r="C326" s="25" t="n">
        <v>216</v>
      </c>
      <c r="D326" s="25" t="n">
        <v>38.65</v>
      </c>
      <c r="E326" s="25" t="n">
        <v>217.172</v>
      </c>
      <c r="F326" s="23" t="n">
        <f aca="false">IF(E326="","",IF(E326&lt;=Inputs!$C$12,Inputs!$C$14,IF(E326&gt;=Inputs!$C$13,Inputs!$C$15,Inputs!$C$11/E326))*C326)</f>
        <v>38.88</v>
      </c>
      <c r="G326" s="25" t="n">
        <v>40</v>
      </c>
      <c r="H326" s="23" t="n">
        <f aca="false">IF(OR(G326="",D326=""),"",G326-D326)</f>
        <v>1.35</v>
      </c>
      <c r="I326" s="31" t="n">
        <f aca="false">IF(H326="","",(D326-Inputs!$C$8)/(G326-Inputs!$C$8))</f>
        <v>0.881578947368421</v>
      </c>
      <c r="J326" s="32" t="n">
        <f aca="false">IF(C326&lt;=Inputs!$C$12,1,0)</f>
        <v>0</v>
      </c>
    </row>
    <row r="327" customFormat="false" ht="15" hidden="false" customHeight="false" outlineLevel="0" collapsed="false">
      <c r="B327" s="30" t="n">
        <v>45940</v>
      </c>
      <c r="C327" s="25" t="n">
        <v>210.73</v>
      </c>
      <c r="D327" s="25" t="n">
        <v>38.02</v>
      </c>
      <c r="E327" s="25" t="n">
        <v>217.592</v>
      </c>
      <c r="F327" s="23" t="n">
        <f aca="false">IF(E327="","",IF(E327&lt;=Inputs!$C$12,Inputs!$C$14,IF(E327&gt;=Inputs!$C$13,Inputs!$C$15,Inputs!$C$11/E327))*C327)</f>
        <v>37.9314</v>
      </c>
      <c r="G327" s="25" t="n">
        <v>39.464</v>
      </c>
      <c r="H327" s="23" t="n">
        <f aca="false">IF(OR(G327="",D327=""),"",G327-D327)</f>
        <v>1.444</v>
      </c>
      <c r="I327" s="31" t="n">
        <f aca="false">IF(H327="","",(D327-Inputs!$C$8)/(G327-Inputs!$C$8))</f>
        <v>0.867083946980855</v>
      </c>
      <c r="J327" s="32" t="n">
        <f aca="false">IF(C327&lt;=Inputs!$C$12,1,0)</f>
        <v>0</v>
      </c>
    </row>
    <row r="328" customFormat="false" ht="15" hidden="false" customHeight="false" outlineLevel="0" collapsed="false">
      <c r="B328" s="30" t="n">
        <v>45943</v>
      </c>
      <c r="C328" s="25" t="n">
        <v>215.56</v>
      </c>
      <c r="D328" s="25" t="n">
        <v>38.89</v>
      </c>
      <c r="E328" s="25" t="n">
        <v>217.834</v>
      </c>
      <c r="F328" s="23" t="n">
        <f aca="false">IF(E328="","",IF(E328&lt;=Inputs!$C$12,Inputs!$C$14,IF(E328&gt;=Inputs!$C$13,Inputs!$C$15,Inputs!$C$11/E328))*C328)</f>
        <v>38.8008</v>
      </c>
      <c r="G328" s="25" t="n">
        <v>38.787</v>
      </c>
      <c r="H328" s="23" t="n">
        <f aca="false">IF(OR(G328="",D328=""),"",G328-D328)</f>
        <v>-0.103000000000002</v>
      </c>
      <c r="I328" s="31" t="n">
        <f aca="false">IF(H328="","",(D328-Inputs!$C$8)/(G328-Inputs!$C$8))</f>
        <v>1.0101109256896</v>
      </c>
      <c r="J328" s="32" t="n">
        <f aca="false">IF(C328&lt;=Inputs!$C$12,1,0)</f>
        <v>0</v>
      </c>
    </row>
    <row r="329" customFormat="false" ht="15" hidden="false" customHeight="false" outlineLevel="0" collapsed="false">
      <c r="B329" s="30" t="n">
        <v>45944</v>
      </c>
      <c r="C329" s="25" t="n">
        <v>214.3</v>
      </c>
      <c r="D329" s="25" t="n">
        <v>38.67</v>
      </c>
      <c r="E329" s="25" t="n">
        <v>217.637</v>
      </c>
      <c r="F329" s="23" t="n">
        <f aca="false">IF(E329="","",IF(E329&lt;=Inputs!$C$12,Inputs!$C$14,IF(E329&gt;=Inputs!$C$13,Inputs!$C$15,Inputs!$C$11/E329))*C329)</f>
        <v>38.574</v>
      </c>
      <c r="G329" s="25" t="n">
        <v>39.661</v>
      </c>
      <c r="H329" s="23" t="n">
        <f aca="false">IF(OR(G329="",D329=""),"",G329-D329)</f>
        <v>0.991</v>
      </c>
      <c r="I329" s="31" t="n">
        <f aca="false">IF(H329="","",(D329-Inputs!$C$8)/(G329-Inputs!$C$8))</f>
        <v>0.910405930747672</v>
      </c>
      <c r="J329" s="32" t="n">
        <f aca="false">IF(C329&lt;=Inputs!$C$12,1,0)</f>
        <v>0</v>
      </c>
    </row>
    <row r="330" customFormat="false" ht="15" hidden="false" customHeight="false" outlineLevel="0" collapsed="false">
      <c r="B330" s="30" t="n">
        <v>45945</v>
      </c>
      <c r="C330" s="25" t="n">
        <v>214</v>
      </c>
      <c r="D330" s="25" t="n">
        <v>38.56</v>
      </c>
      <c r="E330" s="25" t="n">
        <v>217.752</v>
      </c>
      <c r="F330" s="23" t="n">
        <f aca="false">IF(E330="","",IF(E330&lt;=Inputs!$C$12,Inputs!$C$14,IF(E330&gt;=Inputs!$C$13,Inputs!$C$15,Inputs!$C$11/E330))*C330)</f>
        <v>38.52</v>
      </c>
      <c r="G330" s="25" t="n">
        <v>39.557</v>
      </c>
      <c r="H330" s="23" t="n">
        <f aca="false">IF(OR(G330="",D330=""),"",G330-D330)</f>
        <v>0.997</v>
      </c>
      <c r="I330" s="31" t="n">
        <f aca="false">IF(H330="","",(D330-Inputs!$C$8)/(G330-Inputs!$C$8))</f>
        <v>0.909007940129598</v>
      </c>
      <c r="J330" s="32" t="n">
        <f aca="false">IF(C330&lt;=Inputs!$C$12,1,0)</f>
        <v>0</v>
      </c>
    </row>
    <row r="331" customFormat="false" ht="15" hidden="false" customHeight="false" outlineLevel="0" collapsed="false">
      <c r="B331" s="30" t="n">
        <v>45946</v>
      </c>
      <c r="C331" s="25" t="n">
        <v>211.89</v>
      </c>
      <c r="D331" s="25" t="n">
        <v>38.21</v>
      </c>
      <c r="E331" s="25" t="n">
        <v>217.718</v>
      </c>
      <c r="F331" s="23" t="n">
        <f aca="false">IF(E331="","",IF(E331&lt;=Inputs!$C$12,Inputs!$C$14,IF(E331&gt;=Inputs!$C$13,Inputs!$C$15,Inputs!$C$11/E331))*C331)</f>
        <v>38.1402</v>
      </c>
      <c r="G331" s="25" t="n">
        <v>39.364</v>
      </c>
      <c r="H331" s="23" t="n">
        <f aca="false">IF(OR(G331="",D331=""),"",G331-D331)</f>
        <v>1.154</v>
      </c>
      <c r="I331" s="31" t="n">
        <f aca="false">IF(H331="","",(D331-Inputs!$C$8)/(G331-Inputs!$C$8))</f>
        <v>0.892790784095132</v>
      </c>
      <c r="J331" s="32" t="n">
        <f aca="false">IF(C331&lt;=Inputs!$C$12,1,0)</f>
        <v>0</v>
      </c>
    </row>
    <row r="332" customFormat="false" ht="15" hidden="false" customHeight="false" outlineLevel="0" collapsed="false">
      <c r="B332" s="30" t="n">
        <v>45947</v>
      </c>
      <c r="C332" s="25" t="n">
        <v>212.94</v>
      </c>
      <c r="D332" s="25" t="n">
        <v>38.33</v>
      </c>
      <c r="E332" s="25" t="n">
        <v>217.675</v>
      </c>
      <c r="F332" s="23" t="n">
        <f aca="false">IF(E332="","",IF(E332&lt;=Inputs!$C$12,Inputs!$C$14,IF(E332&gt;=Inputs!$C$13,Inputs!$C$15,Inputs!$C$11/E332))*C332)</f>
        <v>38.3292</v>
      </c>
      <c r="G332" s="25" t="n">
        <v>39.294</v>
      </c>
      <c r="H332" s="23" t="n">
        <f aca="false">IF(OR(G332="",D332=""),"",G332-D332)</f>
        <v>0.963999999999999</v>
      </c>
      <c r="I332" s="31" t="n">
        <f aca="false">IF(H332="","",(D332-Inputs!$C$8)/(G332-Inputs!$C$8))</f>
        <v>0.909855994015336</v>
      </c>
      <c r="J332" s="32" t="n">
        <f aca="false">IF(C332&lt;=Inputs!$C$12,1,0)</f>
        <v>0</v>
      </c>
    </row>
    <row r="333" customFormat="false" ht="15" hidden="false" customHeight="false" outlineLevel="0" collapsed="false">
      <c r="B333" s="30" t="n">
        <v>45950</v>
      </c>
      <c r="C333" s="25" t="n">
        <v>216.82</v>
      </c>
      <c r="D333" s="25" t="n">
        <v>38.9</v>
      </c>
      <c r="E333" s="25" t="n">
        <v>217.635</v>
      </c>
      <c r="F333" s="23" t="n">
        <f aca="false">IF(E333="","",IF(E333&lt;=Inputs!$C$12,Inputs!$C$14,IF(E333&gt;=Inputs!$C$13,Inputs!$C$15,Inputs!$C$11/E333))*C333)</f>
        <v>39.0276</v>
      </c>
      <c r="G333" s="25" t="n">
        <v>39.76</v>
      </c>
      <c r="H333" s="23" t="n">
        <f aca="false">IF(OR(G333="",D333=""),"",G333-D333)</f>
        <v>0.859999999999999</v>
      </c>
      <c r="I333" s="31" t="n">
        <f aca="false">IF(H333="","",(D333-Inputs!$C$8)/(G333-Inputs!$C$8))</f>
        <v>0.922939068100358</v>
      </c>
      <c r="J333" s="32" t="n">
        <f aca="false">IF(C333&lt;=Inputs!$C$12,1,0)</f>
        <v>0</v>
      </c>
    </row>
    <row r="334" customFormat="false" ht="15" hidden="false" customHeight="false" outlineLevel="0" collapsed="false">
      <c r="B334" s="30" t="n">
        <v>45951</v>
      </c>
      <c r="C334" s="25" t="n">
        <v>217.26</v>
      </c>
      <c r="D334" s="25" t="n">
        <v>38.82</v>
      </c>
      <c r="E334" s="25" t="n">
        <v>216.793</v>
      </c>
      <c r="F334" s="23" t="n">
        <f aca="false">IF(E334="","",IF(E334&lt;=Inputs!$C$12,Inputs!$C$14,IF(E334&gt;=Inputs!$C$13,Inputs!$C$15,Inputs!$C$11/E334))*C334)</f>
        <v>39.1068</v>
      </c>
      <c r="G334" s="25" t="n">
        <v>39.824</v>
      </c>
      <c r="H334" s="23" t="n">
        <f aca="false">IF(OR(G334="",D334=""),"",G334-D334)</f>
        <v>1.004</v>
      </c>
      <c r="I334" s="31" t="n">
        <f aca="false">IF(H334="","",(D334-Inputs!$C$8)/(G334-Inputs!$C$8))</f>
        <v>0.910548823948682</v>
      </c>
      <c r="J334" s="32" t="n">
        <f aca="false">IF(C334&lt;=Inputs!$C$12,1,0)</f>
        <v>0</v>
      </c>
    </row>
    <row r="335" customFormat="false" ht="15" hidden="false" customHeight="false" outlineLevel="0" collapsed="false">
      <c r="B335" s="30" t="n">
        <v>45952</v>
      </c>
      <c r="C335" s="25" t="n">
        <v>216.59</v>
      </c>
      <c r="D335" s="25" t="n">
        <v>38.56</v>
      </c>
      <c r="E335" s="25" t="n">
        <v>216.608</v>
      </c>
      <c r="F335" s="23" t="n">
        <f aca="false">IF(E335="","",IF(E335&lt;=Inputs!$C$12,Inputs!$C$14,IF(E335&gt;=Inputs!$C$13,Inputs!$C$15,Inputs!$C$11/E335))*C335)</f>
        <v>38.9862</v>
      </c>
      <c r="G335" s="25" t="n">
        <v>39.656</v>
      </c>
      <c r="H335" s="23" t="n">
        <f aca="false">IF(OR(G335="",D335=""),"",G335-D335)</f>
        <v>1.096</v>
      </c>
      <c r="I335" s="31" t="n">
        <f aca="false">IF(H335="","",(D335-Inputs!$C$8)/(G335-Inputs!$C$8))</f>
        <v>0.900868306801737</v>
      </c>
      <c r="J335" s="32" t="n">
        <f aca="false">IF(C335&lt;=Inputs!$C$12,1,0)</f>
        <v>0</v>
      </c>
    </row>
    <row r="336" customFormat="false" ht="15" hidden="false" customHeight="false" outlineLevel="0" collapsed="false">
      <c r="B336" s="30" t="n">
        <v>45953</v>
      </c>
      <c r="C336" s="25" t="n">
        <v>217.77</v>
      </c>
      <c r="D336" s="25" t="n">
        <v>38.9</v>
      </c>
      <c r="E336" s="25" t="n">
        <v>216.718</v>
      </c>
      <c r="F336" s="23" t="n">
        <f aca="false">IF(E336="","",IF(E336&lt;=Inputs!$C$12,Inputs!$C$14,IF(E336&gt;=Inputs!$C$13,Inputs!$C$15,Inputs!$C$11/E336))*C336)</f>
        <v>39.1986</v>
      </c>
      <c r="G336" s="25" t="n">
        <v>39.813</v>
      </c>
      <c r="H336" s="23" t="n">
        <f aca="false">IF(OR(G336="",D336=""),"",G336-D336)</f>
        <v>0.913000000000004</v>
      </c>
      <c r="I336" s="31" t="n">
        <f aca="false">IF(H336="","",(D336-Inputs!$C$8)/(G336-Inputs!$C$8))</f>
        <v>0.91857665210024</v>
      </c>
      <c r="J336" s="32" t="n">
        <f aca="false">IF(C336&lt;=Inputs!$C$12,1,0)</f>
        <v>0</v>
      </c>
    </row>
    <row r="337" customFormat="false" ht="15" hidden="false" customHeight="false" outlineLevel="0" collapsed="false">
      <c r="B337" s="30" t="n">
        <v>45954</v>
      </c>
      <c r="C337" s="25" t="n">
        <v>221.35</v>
      </c>
      <c r="D337" s="25" t="n">
        <v>39.48</v>
      </c>
      <c r="E337" s="25" t="n">
        <v>216.799</v>
      </c>
      <c r="F337" s="23" t="n">
        <f aca="false">IF(E337="","",IF(E337&lt;=Inputs!$C$12,Inputs!$C$14,IF(E337&gt;=Inputs!$C$13,Inputs!$C$15,Inputs!$C$11/E337))*C337)</f>
        <v>39.843</v>
      </c>
      <c r="G337" s="25" t="n">
        <v>40.256</v>
      </c>
      <c r="H337" s="23" t="n">
        <f aca="false">IF(OR(G337="",D337=""),"",G337-D337)</f>
        <v>0.776000000000003</v>
      </c>
      <c r="I337" s="31" t="n">
        <f aca="false">IF(H337="","",(D337-Inputs!$C$8)/(G337-Inputs!$C$8))</f>
        <v>0.933424845573095</v>
      </c>
      <c r="J337" s="32" t="n">
        <f aca="false">IF(C337&lt;=Inputs!$C$12,1,0)</f>
        <v>0</v>
      </c>
    </row>
    <row r="338" customFormat="false" ht="15" hidden="false" customHeight="false" outlineLevel="0" collapsed="false">
      <c r="B338" s="30" t="n">
        <v>45957</v>
      </c>
      <c r="C338" s="25" t="n">
        <v>223</v>
      </c>
      <c r="D338" s="25" t="n">
        <v>39.68</v>
      </c>
      <c r="E338" s="25" t="n">
        <v>216.818</v>
      </c>
      <c r="F338" s="23" t="n">
        <f aca="false">IF(E338="","",IF(E338&lt;=Inputs!$C$12,Inputs!$C$14,IF(E338&gt;=Inputs!$C$13,Inputs!$C$15,Inputs!$C$11/E338))*C338)</f>
        <v>40.14</v>
      </c>
      <c r="G338" s="25" t="n">
        <v>40.525</v>
      </c>
      <c r="H338" s="23" t="n">
        <f aca="false">IF(OR(G338="",D338=""),"",G338-D338)</f>
        <v>0.844999999999999</v>
      </c>
      <c r="I338" s="31" t="n">
        <f aca="false">IF(H338="","",(D338-Inputs!$C$8)/(G338-Inputs!$C$8))</f>
        <v>0.929140461215933</v>
      </c>
      <c r="J338" s="32" t="n">
        <f aca="false">IF(C338&lt;=Inputs!$C$12,1,0)</f>
        <v>0</v>
      </c>
    </row>
    <row r="339" customFormat="false" ht="15" hidden="false" customHeight="false" outlineLevel="0" collapsed="false">
      <c r="B339" s="30" t="n">
        <v>45958</v>
      </c>
      <c r="C339" s="25" t="n">
        <v>223.33</v>
      </c>
      <c r="D339" s="25" t="n">
        <v>39.74</v>
      </c>
      <c r="E339" s="25" t="n">
        <v>217.012</v>
      </c>
      <c r="F339" s="23" t="n">
        <f aca="false">IF(E339="","",IF(E339&lt;=Inputs!$C$12,Inputs!$C$14,IF(E339&gt;=Inputs!$C$13,Inputs!$C$15,Inputs!$C$11/E339))*C339)</f>
        <v>40.1994</v>
      </c>
      <c r="G339" s="25" t="n">
        <v>40.567</v>
      </c>
      <c r="H339" s="23" t="n">
        <f aca="false">IF(OR(G339="",D339=""),"",G339-D339)</f>
        <v>0.826999999999998</v>
      </c>
      <c r="I339" s="31" t="n">
        <f aca="false">IF(H339="","",(D339-Inputs!$C$8)/(G339-Inputs!$C$8))</f>
        <v>0.930893289880505</v>
      </c>
      <c r="J339" s="32" t="n">
        <f aca="false">IF(C339&lt;=Inputs!$C$12,1,0)</f>
        <v>0</v>
      </c>
    </row>
    <row r="340" customFormat="false" ht="15" hidden="false" customHeight="false" outlineLevel="0" collapsed="false">
      <c r="B340" s="30" t="n">
        <v>45959</v>
      </c>
      <c r="C340" s="25" t="n">
        <v>213.58</v>
      </c>
      <c r="D340" s="25" t="n">
        <v>38.08</v>
      </c>
      <c r="E340" s="25" t="n">
        <v>217.203</v>
      </c>
      <c r="F340" s="23" t="n">
        <f aca="false">IF(E340="","",IF(E340&lt;=Inputs!$C$12,Inputs!$C$14,IF(E340&gt;=Inputs!$C$13,Inputs!$C$15,Inputs!$C$11/E340))*C340)</f>
        <v>38.4444</v>
      </c>
      <c r="G340" s="25" t="n">
        <v>39.076</v>
      </c>
      <c r="H340" s="23" t="n">
        <f aca="false">IF(OR(G340="",D340=""),"",G340-D340)</f>
        <v>0.996000000000002</v>
      </c>
      <c r="I340" s="31" t="n">
        <f aca="false">IF(H340="","",(D340-Inputs!$C$8)/(G340-Inputs!$C$8))</f>
        <v>0.904925544100802</v>
      </c>
      <c r="J340" s="32" t="n">
        <f aca="false">IF(C340&lt;=Inputs!$C$12,1,0)</f>
        <v>0</v>
      </c>
    </row>
    <row r="341" customFormat="false" ht="15" hidden="false" customHeight="false" outlineLevel="0" collapsed="false">
      <c r="B341" s="30" t="n">
        <v>45960</v>
      </c>
      <c r="C341" s="25" t="n">
        <v>200.08</v>
      </c>
      <c r="D341" s="25" t="n">
        <v>36.33</v>
      </c>
      <c r="E341" s="25" t="n">
        <v>217.331</v>
      </c>
      <c r="F341" s="23" t="n">
        <f aca="false">IF(E341="","",IF(E341&lt;=Inputs!$C$12,Inputs!$C$14,IF(E341&gt;=Inputs!$C$13,Inputs!$C$15,Inputs!$C$11/E341))*C341)</f>
        <v>36.0144</v>
      </c>
      <c r="G341" s="25" t="n">
        <v>37.721</v>
      </c>
      <c r="H341" s="23" t="n">
        <f aca="false">IF(OR(G341="",D341=""),"",G341-D341)</f>
        <v>1.391</v>
      </c>
      <c r="I341" s="31" t="n">
        <f aca="false">IF(H341="","",(D341-Inputs!$C$8)/(G341-Inputs!$C$8))</f>
        <v>0.847494792237693</v>
      </c>
      <c r="J341" s="32" t="n">
        <f aca="false">IF(C341&lt;=Inputs!$C$12,1,0)</f>
        <v>0</v>
      </c>
    </row>
    <row r="342" customFormat="false" ht="15" hidden="false" customHeight="false" outlineLevel="0" collapsed="false">
      <c r="B342" s="30" t="n">
        <v>45961</v>
      </c>
      <c r="C342" s="25" t="n">
        <v>201.02</v>
      </c>
      <c r="D342" s="25" t="n">
        <v>36.69</v>
      </c>
      <c r="E342" s="25" t="n">
        <v>216.702</v>
      </c>
      <c r="F342" s="23" t="n">
        <f aca="false">IF(E342="","",IF(E342&lt;=Inputs!$C$12,Inputs!$C$14,IF(E342&gt;=Inputs!$C$13,Inputs!$C$15,Inputs!$C$11/E342))*C342)</f>
        <v>36.1836</v>
      </c>
      <c r="G342" s="25" t="n">
        <v>37.742</v>
      </c>
      <c r="H342" s="23" t="n">
        <f aca="false">IF(OR(G342="",D342=""),"",G342-D342)</f>
        <v>1.052</v>
      </c>
      <c r="I342" s="31" t="n">
        <f aca="false">IF(H342="","",(D342-Inputs!$C$8)/(G342-Inputs!$C$8))</f>
        <v>0.884926711879239</v>
      </c>
      <c r="J342" s="32" t="n">
        <f aca="false">IF(C342&lt;=Inputs!$C$12,1,0)</f>
        <v>0</v>
      </c>
    </row>
    <row r="343" customFormat="false" ht="15" hidden="false" customHeight="false" outlineLevel="0" collapsed="false">
      <c r="B343" s="30" t="n">
        <v>45964</v>
      </c>
      <c r="C343" s="25" t="n">
        <v>204.55</v>
      </c>
      <c r="D343" s="25" t="n">
        <v>36.49</v>
      </c>
      <c r="E343" s="25" t="n">
        <v>214.286</v>
      </c>
      <c r="F343" s="23" t="n">
        <f aca="false">IF(E343="","",IF(E343&lt;=Inputs!$C$12,Inputs!$C$14,IF(E343&gt;=Inputs!$C$13,Inputs!$C$15,Inputs!$C$11/E343))*C343)</f>
        <v>36.819</v>
      </c>
      <c r="G343" s="25" t="n">
        <v>37.933</v>
      </c>
      <c r="H343" s="23" t="n">
        <f aca="false">IF(OR(G343="",D343=""),"",G343-D343)</f>
        <v>1.443</v>
      </c>
      <c r="I343" s="31" t="n">
        <f aca="false">IF(H343="","",(D343-Inputs!$C$8)/(G343-Inputs!$C$8))</f>
        <v>0.845387335261974</v>
      </c>
      <c r="J343" s="32" t="n">
        <f aca="false">IF(C343&lt;=Inputs!$C$12,1,0)</f>
        <v>0</v>
      </c>
    </row>
    <row r="344" customFormat="false" ht="15" hidden="false" customHeight="false" outlineLevel="0" collapsed="false">
      <c r="B344" s="30" t="n">
        <v>45965</v>
      </c>
      <c r="C344" s="25" t="n">
        <v>198.05</v>
      </c>
      <c r="D344" s="25" t="n">
        <v>36</v>
      </c>
      <c r="E344" s="25" t="n">
        <v>213.171</v>
      </c>
      <c r="F344" s="23" t="n">
        <f aca="false">IF(E344="","",IF(E344&lt;=Inputs!$C$12,Inputs!$C$14,IF(E344&gt;=Inputs!$C$13,Inputs!$C$15,Inputs!$C$11/E344))*C344)</f>
        <v>35.649</v>
      </c>
      <c r="G344" s="25" t="n">
        <v>37.507</v>
      </c>
      <c r="H344" s="23" t="n">
        <f aca="false">IF(OR(G344="",D344=""),"",G344-D344)</f>
        <v>1.507</v>
      </c>
      <c r="I344" s="31" t="n">
        <f aca="false">IF(H344="","",(D344-Inputs!$C$8)/(G344-Inputs!$C$8))</f>
        <v>0.830807230268329</v>
      </c>
      <c r="J344" s="32" t="n">
        <f aca="false">IF(C344&lt;=Inputs!$C$12,1,0)</f>
        <v>0</v>
      </c>
    </row>
    <row r="345" customFormat="false" ht="15" hidden="false" customHeight="false" outlineLevel="0" collapsed="false">
      <c r="B345" s="30" t="n">
        <v>45966</v>
      </c>
      <c r="C345" s="25" t="n">
        <v>197.62</v>
      </c>
      <c r="D345" s="25" t="n">
        <v>35.65</v>
      </c>
      <c r="E345" s="25" t="n">
        <v>212.499</v>
      </c>
      <c r="F345" s="23" t="n">
        <f aca="false">IF(E345="","",IF(E345&lt;=Inputs!$C$12,Inputs!$C$14,IF(E345&gt;=Inputs!$C$13,Inputs!$C$15,Inputs!$C$11/E345))*C345)</f>
        <v>35.5716</v>
      </c>
      <c r="G345" s="25" t="n">
        <v>37.428</v>
      </c>
      <c r="H345" s="23" t="n">
        <f aca="false">IF(OR(G345="",D345=""),"",G345-D345)</f>
        <v>1.778</v>
      </c>
      <c r="I345" s="31" t="n">
        <f aca="false">IF(H345="","",(D345-Inputs!$C$8)/(G345-Inputs!$C$8))</f>
        <v>0.79859537834164</v>
      </c>
      <c r="J345" s="32" t="n">
        <f aca="false">IF(C345&lt;=Inputs!$C$12,1,0)</f>
        <v>0</v>
      </c>
    </row>
    <row r="346" customFormat="false" ht="15" hidden="false" customHeight="false" outlineLevel="0" collapsed="false">
      <c r="B346" s="30" t="n">
        <v>45967</v>
      </c>
      <c r="C346" s="25" t="n">
        <v>196.5</v>
      </c>
      <c r="D346" s="25" t="n">
        <v>35.65</v>
      </c>
      <c r="E346" s="25" t="n">
        <v>211.476</v>
      </c>
      <c r="F346" s="23" t="n">
        <f aca="false">IF(E346="","",IF(E346&lt;=Inputs!$C$12,Inputs!$C$14,IF(E346&gt;=Inputs!$C$13,Inputs!$C$15,Inputs!$C$11/E346))*C346)</f>
        <v>35.37</v>
      </c>
      <c r="G346" s="25" t="n">
        <v>37.402</v>
      </c>
      <c r="H346" s="23" t="n">
        <f aca="false">IF(OR(G346="",D346=""),"",G346-D346)</f>
        <v>1.752</v>
      </c>
      <c r="I346" s="31" t="n">
        <f aca="false">IF(H346="","",(D346-Inputs!$C$8)/(G346-Inputs!$C$8))</f>
        <v>0.80095432856169</v>
      </c>
      <c r="J346" s="32" t="n">
        <f aca="false">IF(C346&lt;=Inputs!$C$12,1,0)</f>
        <v>0</v>
      </c>
    </row>
    <row r="347" customFormat="false" ht="15" hidden="false" customHeight="false" outlineLevel="0" collapsed="false">
      <c r="B347" s="30" t="n">
        <v>45968</v>
      </c>
      <c r="C347" s="25" t="n">
        <v>194.61</v>
      </c>
      <c r="D347" s="25" t="n">
        <v>35.6</v>
      </c>
      <c r="E347" s="25" t="n">
        <v>210.281</v>
      </c>
      <c r="F347" s="23" t="n">
        <f aca="false">IF(E347="","",IF(E347&lt;=Inputs!$C$12,Inputs!$C$14,IF(E347&gt;=Inputs!$C$13,Inputs!$C$15,Inputs!$C$11/E347))*C347)</f>
        <v>35.0298</v>
      </c>
      <c r="G347" s="25" t="n">
        <v>37.25</v>
      </c>
      <c r="H347" s="23" t="n">
        <f aca="false">IF(OR(G347="",D347=""),"",G347-D347)</f>
        <v>1.65</v>
      </c>
      <c r="I347" s="31" t="n">
        <f aca="false">IF(H347="","",(D347-Inputs!$C$8)/(G347-Inputs!$C$8))</f>
        <v>0.809248554913295</v>
      </c>
      <c r="J347" s="32" t="n">
        <f aca="false">IF(C347&lt;=Inputs!$C$12,1,0)</f>
        <v>0</v>
      </c>
    </row>
    <row r="348" customFormat="false" ht="15" hidden="false" customHeight="false" outlineLevel="0" collapsed="false">
      <c r="B348" s="30" t="n">
        <v>45971</v>
      </c>
      <c r="C348" s="25" t="n">
        <v>194.81</v>
      </c>
      <c r="D348" s="25" t="n">
        <v>35.63</v>
      </c>
      <c r="E348" s="25" t="n">
        <v>209.452</v>
      </c>
      <c r="F348" s="23" t="n">
        <f aca="false">IF(E348="","",IF(E348&lt;=Inputs!$C$12,Inputs!$C$14,IF(E348&gt;=Inputs!$C$13,Inputs!$C$15,Inputs!$C$11/E348))*C348)</f>
        <v>35.0658</v>
      </c>
      <c r="G348" s="25" t="n">
        <v>37.254</v>
      </c>
      <c r="H348" s="23" t="n">
        <f aca="false">IF(OR(G348="",D348=""),"",G348-D348)</f>
        <v>1.624</v>
      </c>
      <c r="I348" s="31" t="n">
        <f aca="false">IF(H348="","",(D348-Inputs!$C$8)/(G348-Inputs!$C$8))</f>
        <v>0.812341113935753</v>
      </c>
      <c r="J348" s="32" t="n">
        <f aca="false">IF(C348&lt;=Inputs!$C$12,1,0)</f>
        <v>0</v>
      </c>
    </row>
    <row r="349" customFormat="false" ht="15" hidden="false" customHeight="false" outlineLevel="0" collapsed="false">
      <c r="B349" s="30" t="n">
        <v>45972</v>
      </c>
      <c r="C349" s="25" t="n">
        <v>195.21</v>
      </c>
      <c r="D349" s="25" t="n">
        <v>35.85</v>
      </c>
      <c r="E349" s="25" t="n">
        <v>208.377</v>
      </c>
      <c r="F349" s="23" t="n">
        <f aca="false">IF(E349="","",IF(E349&lt;=Inputs!$C$12,Inputs!$C$14,IF(E349&gt;=Inputs!$C$13,Inputs!$C$15,Inputs!$C$11/E349))*C349)</f>
        <v>35.1378</v>
      </c>
      <c r="G349" s="25" t="n">
        <v>37.262</v>
      </c>
      <c r="H349" s="23" t="n">
        <f aca="false">IF(OR(G349="",D349=""),"",G349-D349)</f>
        <v>1.412</v>
      </c>
      <c r="I349" s="31" t="n">
        <f aca="false">IF(H349="","",(D349-Inputs!$C$8)/(G349-Inputs!$C$8))</f>
        <v>0.836989148002771</v>
      </c>
      <c r="J349" s="32" t="n">
        <f aca="false">IF(C349&lt;=Inputs!$C$12,1,0)</f>
        <v>0</v>
      </c>
    </row>
    <row r="350" customFormat="false" ht="15" hidden="false" customHeight="false" outlineLevel="0" collapsed="false">
      <c r="B350" s="30" t="n">
        <v>45973</v>
      </c>
      <c r="C350" s="25" t="n">
        <v>195.5</v>
      </c>
      <c r="D350" s="25" t="n">
        <v>36.14</v>
      </c>
      <c r="E350" s="25" t="n">
        <v>207.286</v>
      </c>
      <c r="F350" s="23" t="n">
        <f aca="false">IF(E350="","",IF(E350&lt;=Inputs!$C$12,Inputs!$C$14,IF(E350&gt;=Inputs!$C$13,Inputs!$C$15,Inputs!$C$11/E350))*C350)</f>
        <v>35.19</v>
      </c>
      <c r="G350" s="25" t="n">
        <v>37.232</v>
      </c>
      <c r="H350" s="23" t="n">
        <f aca="false">IF(OR(G350="",D350=""),"",G350-D350)</f>
        <v>1.092</v>
      </c>
      <c r="I350" s="31" t="n">
        <f aca="false">IF(H350="","",(D350-Inputs!$C$8)/(G350-Inputs!$C$8))</f>
        <v>0.873493975903615</v>
      </c>
      <c r="J350" s="32" t="n">
        <f aca="false">IF(C350&lt;=Inputs!$C$12,1,0)</f>
        <v>0</v>
      </c>
    </row>
    <row r="351" customFormat="false" ht="15" hidden="false" customHeight="false" outlineLevel="0" collapsed="false">
      <c r="B351" s="30" t="n">
        <v>45974</v>
      </c>
      <c r="C351" s="25" t="n">
        <v>194.58</v>
      </c>
      <c r="D351" s="25" t="n">
        <v>36.34</v>
      </c>
      <c r="E351" s="25" t="n">
        <v>206.484</v>
      </c>
      <c r="F351" s="23" t="n">
        <f aca="false">IF(E351="","",IF(E351&lt;=Inputs!$C$12,Inputs!$C$14,IF(E351&gt;=Inputs!$C$13,Inputs!$C$15,Inputs!$C$11/E351))*C351)</f>
        <v>35.1025018887662</v>
      </c>
      <c r="G351" s="25" t="n">
        <v>37.224</v>
      </c>
      <c r="H351" s="23" t="n">
        <f aca="false">IF(OR(G351="",D351=""),"",G351-D351)</f>
        <v>0.883999999999993</v>
      </c>
      <c r="I351" s="31" t="n">
        <f aca="false">IF(H351="","",(D351-Inputs!$C$8)/(G351-Inputs!$C$8))</f>
        <v>0.897495361781077</v>
      </c>
      <c r="J351" s="32" t="n">
        <f aca="false">IF(C351&lt;=Inputs!$C$12,1,0)</f>
        <v>0</v>
      </c>
    </row>
    <row r="352" customFormat="false" ht="15" hidden="false" customHeight="false" outlineLevel="0" collapsed="false">
      <c r="B352" s="30" t="n">
        <v>45975</v>
      </c>
      <c r="C352" s="25" t="n">
        <v>194.52</v>
      </c>
      <c r="D352" s="25" t="n">
        <v>36.6</v>
      </c>
      <c r="E352" s="25" t="n">
        <v>205.386</v>
      </c>
      <c r="F352" s="23" t="n">
        <f aca="false">IF(E352="","",IF(E352&lt;=Inputs!$C$12,Inputs!$C$14,IF(E352&gt;=Inputs!$C$13,Inputs!$C$15,Inputs!$C$11/E352))*C352)</f>
        <v>35.2792790160965</v>
      </c>
      <c r="G352" s="25" t="n">
        <v>37.21</v>
      </c>
      <c r="H352" s="23" t="n">
        <f aca="false">IF(OR(G352="",D352=""),"",G352-D352)</f>
        <v>0.609999999999999</v>
      </c>
      <c r="I352" s="31" t="n">
        <f aca="false">IF(H352="","",(D352-Inputs!$C$8)/(G352-Inputs!$C$8))</f>
        <v>0.929152148664344</v>
      </c>
      <c r="J352" s="32" t="n">
        <f aca="false">IF(C352&lt;=Inputs!$C$12,1,0)</f>
        <v>0</v>
      </c>
    </row>
    <row r="353" customFormat="false" ht="15" hidden="false" customHeight="false" outlineLevel="0" collapsed="false">
      <c r="B353" s="30" t="n">
        <v>45978</v>
      </c>
      <c r="C353" s="25" t="n">
        <v>191.81</v>
      </c>
      <c r="D353" s="25" t="n">
        <v>36.1</v>
      </c>
      <c r="E353" s="25" t="n">
        <v>204.393</v>
      </c>
      <c r="F353" s="23" t="n">
        <f aca="false">IF(E353="","",IF(E353&lt;=Inputs!$C$12,Inputs!$C$14,IF(E353&gt;=Inputs!$C$13,Inputs!$C$15,Inputs!$C$11/E353))*C353)</f>
        <v>34.9567866805615</v>
      </c>
      <c r="G353" s="25" t="n">
        <v>37.133</v>
      </c>
      <c r="H353" s="23" t="n">
        <f aca="false">IF(OR(G353="",D353=""),"",G353-D353)</f>
        <v>1.033</v>
      </c>
      <c r="I353" s="31" t="n">
        <f aca="false">IF(H353="","",(D353-Inputs!$C$8)/(G353-Inputs!$C$8))</f>
        <v>0.878940583616547</v>
      </c>
      <c r="J353" s="32" t="n">
        <f aca="false">IF(C353&lt;=Inputs!$C$12,1,0)</f>
        <v>0</v>
      </c>
    </row>
    <row r="354" customFormat="false" ht="15" hidden="false" customHeight="false" outlineLevel="0" collapsed="false">
      <c r="B354" s="30" t="n">
        <v>45979</v>
      </c>
      <c r="C354" s="25" t="n">
        <v>189.63</v>
      </c>
      <c r="D354" s="25" t="n">
        <v>35.87</v>
      </c>
      <c r="E354" s="25" t="n">
        <v>203.361</v>
      </c>
      <c r="F354" s="23" t="n">
        <f aca="false">IF(E354="","",IF(E354&lt;=Inputs!$C$12,Inputs!$C$14,IF(E354&gt;=Inputs!$C$13,Inputs!$C$15,Inputs!$C$11/E354))*C354)</f>
        <v>34.734868042545</v>
      </c>
      <c r="G354" s="25" t="n">
        <v>37.054</v>
      </c>
      <c r="H354" s="23" t="n">
        <f aca="false">IF(OR(G354="",D354=""),"",G354-D354)</f>
        <v>1.184</v>
      </c>
      <c r="I354" s="31" t="n">
        <f aca="false">IF(H354="","",(D354-Inputs!$C$8)/(G354-Inputs!$C$8))</f>
        <v>0.859947953631417</v>
      </c>
      <c r="J354" s="32" t="n">
        <f aca="false">IF(C354&lt;=Inputs!$C$12,1,0)</f>
        <v>0</v>
      </c>
    </row>
    <row r="355" customFormat="false" ht="15" hidden="false" customHeight="false" outlineLevel="0" collapsed="false">
      <c r="B355" s="30" t="n">
        <v>45980</v>
      </c>
      <c r="C355" s="25" t="n">
        <v>185.7</v>
      </c>
      <c r="D355" s="25" t="n">
        <v>35.72</v>
      </c>
      <c r="E355" s="25" t="n">
        <v>202.057</v>
      </c>
      <c r="F355" s="23" t="n">
        <f aca="false">IF(E355="","",IF(E355&lt;=Inputs!$C$12,Inputs!$C$14,IF(E355&gt;=Inputs!$C$13,Inputs!$C$15,Inputs!$C$11/E355))*C355)</f>
        <v>34.234522931648</v>
      </c>
      <c r="G355" s="25" t="n">
        <v>36.778</v>
      </c>
      <c r="H355" s="23" t="n">
        <f aca="false">IF(OR(G355="",D355=""),"",G355-D355)</f>
        <v>1.058</v>
      </c>
      <c r="I355" s="31" t="n">
        <f aca="false">IF(H355="","",(D355-Inputs!$C$8)/(G355-Inputs!$C$8))</f>
        <v>0.870628515529469</v>
      </c>
      <c r="J355" s="32" t="n">
        <f aca="false">IF(C355&lt;=Inputs!$C$12,1,0)</f>
        <v>0</v>
      </c>
    </row>
    <row r="356" customFormat="false" ht="15" hidden="false" customHeight="false" outlineLevel="0" collapsed="false">
      <c r="B356" s="30" t="n">
        <v>45981</v>
      </c>
      <c r="C356" s="25" t="n">
        <v>179.38</v>
      </c>
      <c r="D356" s="25" t="n">
        <v>35.25</v>
      </c>
      <c r="E356" s="25" t="n">
        <v>200.255</v>
      </c>
      <c r="F356" s="23" t="n">
        <f aca="false">IF(E356="","",IF(E356&lt;=Inputs!$C$12,Inputs!$C$14,IF(E356&gt;=Inputs!$C$13,Inputs!$C$15,Inputs!$C$11/E356))*C356)</f>
        <v>33.3669820978253</v>
      </c>
      <c r="G356" s="25" t="n">
        <v>36.406</v>
      </c>
      <c r="H356" s="23" t="n">
        <f aca="false">IF(OR(G356="",D356=""),"",G356-D356)</f>
        <v>1.156</v>
      </c>
      <c r="I356" s="31" t="n">
        <f aca="false">IF(H356="","",(D356-Inputs!$C$8)/(G356-Inputs!$C$8))</f>
        <v>0.851908788111709</v>
      </c>
      <c r="J356" s="32" t="n">
        <f aca="false">IF(C356&lt;=Inputs!$C$12,1,0)</f>
        <v>0</v>
      </c>
    </row>
    <row r="357" customFormat="false" ht="15" hidden="false" customHeight="false" outlineLevel="0" collapsed="false">
      <c r="B357" s="30" t="n">
        <v>45982</v>
      </c>
      <c r="C357" s="25" t="n">
        <v>179.7</v>
      </c>
      <c r="D357" s="25" t="n">
        <v>34.82</v>
      </c>
      <c r="E357" s="25" t="n">
        <v>196.441</v>
      </c>
      <c r="F357" s="23" t="n">
        <f aca="false">IF(E357="","",IF(E357&lt;=Inputs!$C$12,Inputs!$C$14,IF(E357&gt;=Inputs!$C$13,Inputs!$C$15,Inputs!$C$11/E357))*C357)</f>
        <v>34.0754984957315</v>
      </c>
      <c r="G357" s="25" t="n">
        <v>36.363</v>
      </c>
      <c r="H357" s="23" t="n">
        <f aca="false">IF(OR(G357="",D357=""),"",G357-D357)</f>
        <v>1.543</v>
      </c>
      <c r="I357" s="31" t="n">
        <f aca="false">IF(H357="","",(D357-Inputs!$C$8)/(G357-Inputs!$C$8))</f>
        <v>0.801236635321396</v>
      </c>
      <c r="J357" s="32" t="n">
        <f aca="false">IF(C357&lt;=Inputs!$C$12,1,0)</f>
        <v>0</v>
      </c>
    </row>
    <row r="358" customFormat="false" ht="15" hidden="false" customHeight="false" outlineLevel="0" collapsed="false">
      <c r="B358" s="30" t="n">
        <v>45985</v>
      </c>
      <c r="C358" s="25" t="n">
        <v>179.12</v>
      </c>
      <c r="D358" s="25" t="n">
        <v>34.96</v>
      </c>
      <c r="E358" s="25" t="n">
        <v>193.821</v>
      </c>
      <c r="F358" s="23" t="n">
        <f aca="false">IF(E358="","",IF(E358&lt;=Inputs!$C$12,Inputs!$C$14,IF(E358&gt;=Inputs!$C$13,Inputs!$C$15,Inputs!$C$11/E358))*C358)</f>
        <v>34.4246495477786</v>
      </c>
      <c r="G358" s="25" t="n">
        <v>36.348</v>
      </c>
      <c r="H358" s="23" t="n">
        <f aca="false">IF(OR(G358="",D358=""),"",G358-D358)</f>
        <v>1.388</v>
      </c>
      <c r="I358" s="31" t="n">
        <f aca="false">IF(H358="","",(D358-Inputs!$C$8)/(G358-Inputs!$C$8))</f>
        <v>0.82085699535364</v>
      </c>
      <c r="J358" s="32" t="n">
        <f aca="false">IF(C358&lt;=Inputs!$C$12,1,0)</f>
        <v>0</v>
      </c>
    </row>
    <row r="359" customFormat="false" ht="15" hidden="false" customHeight="false" outlineLevel="0" collapsed="false">
      <c r="B359" s="30" t="n">
        <v>45986</v>
      </c>
      <c r="C359" s="25" t="n">
        <v>182.44</v>
      </c>
      <c r="D359" s="25" t="n">
        <v>35.42</v>
      </c>
      <c r="E359" s="25" t="n">
        <v>192.089</v>
      </c>
      <c r="F359" s="23" t="n">
        <f aca="false">IF(E359="","",IF(E359&lt;=Inputs!$C$12,Inputs!$C$14,IF(E359&gt;=Inputs!$C$13,Inputs!$C$15,Inputs!$C$11/E359))*C359)</f>
        <v>35.3788608405479</v>
      </c>
      <c r="G359" s="25" t="n">
        <v>36.776</v>
      </c>
      <c r="H359" s="23" t="n">
        <f aca="false">IF(OR(G359="",D359=""),"",G359-D359)</f>
        <v>1.356</v>
      </c>
      <c r="I359" s="31" t="n">
        <f aca="false">IF(H359="","",(D359-Inputs!$C$8)/(G359-Inputs!$C$8))</f>
        <v>0.834148727984344</v>
      </c>
      <c r="J359" s="32" t="n">
        <f aca="false">IF(C359&lt;=Inputs!$C$12,1,0)</f>
        <v>0</v>
      </c>
    </row>
    <row r="360" customFormat="false" ht="15" hidden="false" customHeight="false" outlineLevel="0" collapsed="false">
      <c r="B360" s="30" t="n">
        <v>45987</v>
      </c>
      <c r="C360" s="25" t="n">
        <v>186.92</v>
      </c>
      <c r="D360" s="25" t="n">
        <v>36.13</v>
      </c>
      <c r="E360" s="25" t="n">
        <v>190.379</v>
      </c>
      <c r="F360" s="23" t="n">
        <f aca="false">IF(E360="","",IF(E360&lt;=Inputs!$C$12,Inputs!$C$14,IF(E360&gt;=Inputs!$C$13,Inputs!$C$15,Inputs!$C$11/E360))*C360)</f>
        <v>36.5732039773294</v>
      </c>
      <c r="G360" s="25" t="n">
        <v>37.354</v>
      </c>
      <c r="H360" s="23" t="n">
        <f aca="false">IF(OR(G360="",D360=""),"",G360-D360)</f>
        <v>1.224</v>
      </c>
      <c r="I360" s="31" t="n">
        <f aca="false">IF(H360="","",(D360-Inputs!$C$8)/(G360-Inputs!$C$8))</f>
        <v>0.860178204249486</v>
      </c>
      <c r="J360" s="32" t="n">
        <f aca="false">IF(C360&lt;=Inputs!$C$12,1,0)</f>
        <v>0</v>
      </c>
    </row>
    <row r="361" customFormat="false" ht="15" hidden="false" customHeight="false" outlineLevel="0" collapsed="false">
      <c r="B361" s="30" t="n">
        <v>45989</v>
      </c>
      <c r="C361" s="25" t="n">
        <v>189</v>
      </c>
      <c r="D361" s="25" t="n">
        <v>36.73</v>
      </c>
      <c r="E361" s="25" t="n">
        <v>189.096</v>
      </c>
      <c r="F361" s="23" t="n">
        <f aca="false">IF(E361="","",IF(E361&lt;=Inputs!$C$12,Inputs!$C$14,IF(E361&gt;=Inputs!$C$13,Inputs!$C$15,Inputs!$C$11/E361))*C361)</f>
        <v>37.2310889706816</v>
      </c>
      <c r="G361" s="25" t="n">
        <v>37.598</v>
      </c>
      <c r="H361" s="23" t="n">
        <f aca="false">IF(OR(G361="",D361=""),"",G361-D361)</f>
        <v>0.868000000000002</v>
      </c>
      <c r="I361" s="31" t="n">
        <f aca="false">IF(H361="","",(D361-Inputs!$C$8)/(G361-Inputs!$C$8))</f>
        <v>0.903534118693043</v>
      </c>
      <c r="J361" s="32" t="n">
        <f aca="false">IF(C361&lt;=Inputs!$C$12,1,0)</f>
        <v>0</v>
      </c>
    </row>
    <row r="362" customFormat="false" ht="15" hidden="false" customHeight="false" outlineLevel="0" collapsed="false">
      <c r="B362" s="30" t="n">
        <v>45992</v>
      </c>
      <c r="C362" s="25" t="n">
        <v>186.46</v>
      </c>
      <c r="D362" s="25" t="n">
        <v>35.85</v>
      </c>
      <c r="E362" s="25" t="n">
        <v>188.287</v>
      </c>
      <c r="F362" s="23" t="n">
        <f aca="false">IF(E362="","",IF(E362&lt;=Inputs!$C$12,Inputs!$C$14,IF(E362&gt;=Inputs!$C$13,Inputs!$C$15,Inputs!$C$11/E362))*C362)</f>
        <v>36.8885531130668</v>
      </c>
      <c r="G362" s="25" t="n">
        <v>37.267</v>
      </c>
      <c r="H362" s="23" t="n">
        <f aca="false">IF(OR(G362="",D362=""),"",G362-D362)</f>
        <v>1.417</v>
      </c>
      <c r="I362" s="31" t="n">
        <f aca="false">IF(H362="","",(D362-Inputs!$C$8)/(G362-Inputs!$C$8))</f>
        <v>0.836506288219684</v>
      </c>
      <c r="J362" s="32" t="n">
        <f aca="false">IF(C362&lt;=Inputs!$C$12,1,0)</f>
        <v>0</v>
      </c>
    </row>
    <row r="363" customFormat="false" ht="15" hidden="false" customHeight="false" outlineLevel="0" collapsed="false">
      <c r="B363" s="30" t="n">
        <v>45993</v>
      </c>
      <c r="C363" s="25" t="n">
        <v>205.38</v>
      </c>
      <c r="D363" s="25" t="n">
        <v>37.54</v>
      </c>
      <c r="E363" s="25" t="n">
        <v>187.702</v>
      </c>
      <c r="F363" s="23" t="n">
        <f aca="false">IF(E363="","",IF(E363&lt;=Inputs!$C$12,Inputs!$C$14,IF(E363&gt;=Inputs!$C$13,Inputs!$C$15,Inputs!$C$11/E363))*C363)</f>
        <v>40.7582497789049</v>
      </c>
      <c r="G363" s="25" t="n">
        <v>40.22</v>
      </c>
      <c r="H363" s="23" t="n">
        <f aca="false">IF(OR(G363="",D363=""),"",G363-D363)</f>
        <v>2.68</v>
      </c>
      <c r="I363" s="31" t="n">
        <f aca="false">IF(H363="","",(D363-Inputs!$C$8)/(G363-Inputs!$C$8))</f>
        <v>0.769363166953528</v>
      </c>
      <c r="J363" s="32" t="n">
        <f aca="false">IF(C363&lt;=Inputs!$C$12,1,0)</f>
        <v>0</v>
      </c>
    </row>
    <row r="364" customFormat="false" ht="15" hidden="false" customHeight="false" outlineLevel="0" collapsed="false">
      <c r="B364" s="30" t="n">
        <v>45994</v>
      </c>
      <c r="C364" s="25" t="n">
        <v>202.54</v>
      </c>
      <c r="D364" s="25" t="n">
        <v>39.5</v>
      </c>
      <c r="E364" s="25" t="n">
        <v>187.292</v>
      </c>
      <c r="F364" s="23" t="n">
        <f aca="false">IF(E364="","",IF(E364&lt;=Inputs!$C$12,Inputs!$C$14,IF(E364&gt;=Inputs!$C$13,Inputs!$C$15,Inputs!$C$11/E364))*C364)</f>
        <v>40.2826335348013</v>
      </c>
      <c r="G364" s="25" t="n">
        <v>39.713</v>
      </c>
      <c r="H364" s="23" t="n">
        <f aca="false">IF(OR(G364="",D364=""),"",G364-D364)</f>
        <v>0.213000000000001</v>
      </c>
      <c r="I364" s="31" t="n">
        <f aca="false">IF(H364="","",(D364-Inputs!$C$8)/(G364-Inputs!$C$8))</f>
        <v>0.980833258346081</v>
      </c>
      <c r="J364" s="32" t="n">
        <f aca="false">IF(C364&lt;=Inputs!$C$12,1,0)</f>
        <v>0</v>
      </c>
    </row>
    <row r="365" customFormat="false" ht="15" hidden="false" customHeight="false" outlineLevel="0" collapsed="false">
      <c r="B365" s="30" t="n">
        <v>45995</v>
      </c>
      <c r="C365" s="25" t="n">
        <v>201.87</v>
      </c>
      <c r="D365" s="25" t="n">
        <v>39.41</v>
      </c>
      <c r="E365" s="25" t="n">
        <v>189.344</v>
      </c>
      <c r="F365" s="23" t="n">
        <f aca="false">IF(E365="","",IF(E365&lt;=Inputs!$C$12,Inputs!$C$14,IF(E365&gt;=Inputs!$C$13,Inputs!$C$15,Inputs!$C$11/E365))*C365)</f>
        <v>39.7142634569883</v>
      </c>
      <c r="G365" s="25" t="n">
        <v>39.08</v>
      </c>
      <c r="H365" s="23" t="n">
        <f aca="false">IF(OR(G365="",D365=""),"",G365-D365)</f>
        <v>-0.329999999999998</v>
      </c>
      <c r="I365" s="31" t="n">
        <f aca="false">IF(H365="","",(D365-Inputs!$C$8)/(G365-Inputs!$C$8))</f>
        <v>1.03148854961832</v>
      </c>
      <c r="J365" s="32" t="n">
        <f aca="false">IF(C365&lt;=Inputs!$C$12,1,0)</f>
        <v>0</v>
      </c>
    </row>
    <row r="366" customFormat="false" ht="15" hidden="false" customHeight="false" outlineLevel="0" collapsed="false">
      <c r="B366" s="30" t="n">
        <v>45996</v>
      </c>
      <c r="C366" s="25" t="n">
        <v>201.89</v>
      </c>
      <c r="D366" s="25" t="n">
        <v>39.5</v>
      </c>
      <c r="E366" s="25" t="n">
        <v>190.328</v>
      </c>
      <c r="F366" s="23" t="n">
        <f aca="false">IF(E366="","",IF(E366&lt;=Inputs!$C$12,Inputs!$C$14,IF(E366&gt;=Inputs!$C$13,Inputs!$C$15,Inputs!$C$11/E366))*C366)</f>
        <v>39.5128541255096</v>
      </c>
      <c r="G366" s="25" t="n">
        <v>39.659</v>
      </c>
      <c r="H366" s="23" t="n">
        <f aca="false">IF(OR(G366="",D366=""),"",G366-D366)</f>
        <v>0.158999999999999</v>
      </c>
      <c r="I366" s="31" t="n">
        <f aca="false">IF(H366="","",(D366-Inputs!$C$8)/(G366-Inputs!$C$8))</f>
        <v>0.985622569852609</v>
      </c>
      <c r="J366" s="32" t="n">
        <f aca="false">IF(C366&lt;=Inputs!$C$12,1,0)</f>
        <v>0</v>
      </c>
    </row>
    <row r="367" customFormat="false" ht="15" hidden="false" customHeight="false" outlineLevel="0" collapsed="false">
      <c r="B367" s="30" t="n">
        <v>45999</v>
      </c>
      <c r="C367" s="25" t="n">
        <v>206.27</v>
      </c>
      <c r="D367" s="25"/>
      <c r="E367" s="25" t="n">
        <v>190.744</v>
      </c>
      <c r="F367" s="23" t="n">
        <f aca="false">IF(E367="","",IF(E367&lt;=Inputs!$C$12,Inputs!$C$14,IF(E367&gt;=Inputs!$C$13,Inputs!$C$15,Inputs!$C$11/E367))*C367)</f>
        <v>40.2820403263012</v>
      </c>
      <c r="G367" s="25"/>
      <c r="H367" s="23" t="str">
        <f aca="false">IF(OR(G367="",D367=""),"",G367-D367)</f>
        <v/>
      </c>
      <c r="I367" s="31" t="str">
        <f aca="false">IF(H367="","",(D367-Inputs!$C$8)/(G367-Inputs!$C$8))</f>
        <v/>
      </c>
      <c r="J367" s="32" t="n">
        <f aca="false">IF(C367&lt;=Inputs!$C$12,1,0)</f>
        <v>0</v>
      </c>
    </row>
    <row r="369" customFormat="false" ht="15" hidden="false" customHeight="false" outlineLevel="0" collapsed="false">
      <c r="B369" s="9" t="s">
        <v>130</v>
      </c>
      <c r="C369" s="10" t="s">
        <v>32</v>
      </c>
    </row>
    <row r="370" customFormat="false" ht="15" hidden="false" customHeight="false" outlineLevel="0" collapsed="false">
      <c r="B370" s="6" t="s">
        <v>131</v>
      </c>
      <c r="C370" s="33" t="n">
        <f aca="false">COUNT(C6:C367)</f>
        <v>362</v>
      </c>
    </row>
    <row r="371" customFormat="false" ht="15" hidden="false" customHeight="false" outlineLevel="0" collapsed="false">
      <c r="B371" s="6" t="s">
        <v>132</v>
      </c>
      <c r="C371" s="33" t="n">
        <f aca="false">SUM(J6:J367)</f>
        <v>16</v>
      </c>
    </row>
    <row r="372" customFormat="false" ht="15" hidden="false" customHeight="false" outlineLevel="0" collapsed="false">
      <c r="B372" s="6" t="s">
        <v>133</v>
      </c>
      <c r="C372" s="33" t="n">
        <f aca="false">COUNTIF(C6:C367,"&gt;="&amp;Inputs!C13)</f>
        <v>98</v>
      </c>
    </row>
    <row r="373" customFormat="false" ht="15" hidden="false" customHeight="false" outlineLevel="0" collapsed="false">
      <c r="B373" s="6" t="s">
        <v>134</v>
      </c>
      <c r="C373" s="23" t="n">
        <f aca="false">MIN(C6:C367)</f>
        <v>136.59</v>
      </c>
    </row>
    <row r="374" customFormat="false" ht="15" hidden="false" customHeight="false" outlineLevel="0" collapsed="false">
      <c r="B374" s="6" t="s">
        <v>135</v>
      </c>
      <c r="C374" s="23" t="n">
        <f aca="false">MIN(F6:F367)</f>
        <v>29.4380109583018</v>
      </c>
    </row>
    <row r="375" customFormat="false" ht="15" hidden="false" customHeight="false" outlineLevel="0" collapsed="false">
      <c r="B375" s="6" t="s">
        <v>136</v>
      </c>
      <c r="C375" s="23" t="n">
        <f aca="false">AVERAGE(H6:H367)</f>
        <v>1.3347921686747</v>
      </c>
    </row>
    <row r="376" customFormat="false" ht="15" hidden="false" customHeight="false" outlineLevel="0" collapsed="false">
      <c r="B376" s="6" t="s">
        <v>137</v>
      </c>
      <c r="C376" s="33" t="n">
        <f aca="false">COUNTIF(H6:H367,"&lt;0")</f>
        <v>19</v>
      </c>
    </row>
    <row r="377" customFormat="false" ht="15" hidden="false" customHeight="false" outlineLevel="0" collapsed="false">
      <c r="B377" s="6" t="s">
        <v>138</v>
      </c>
      <c r="C377" s="31" t="n">
        <f aca="false">MEDIAN(I6:I367)</f>
        <v>0.851805444010204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52"/>
    <col collapsed="false" customWidth="true" hidden="false" outlineLevel="0" max="5" min="3" style="0" width="14"/>
    <col collapsed="false" customWidth="true" hidden="false" outlineLevel="0" max="6" min="6" style="0" width="10"/>
  </cols>
  <sheetData>
    <row r="2" customFormat="false" ht="17.35" hidden="false" customHeight="false" outlineLevel="0" collapsed="false">
      <c r="B2" s="1" t="s">
        <v>14</v>
      </c>
    </row>
    <row r="3" customFormat="false" ht="15" hidden="false" customHeight="false" outlineLevel="0" collapsed="false">
      <c r="B3" s="2" t="s">
        <v>139</v>
      </c>
    </row>
    <row r="5" customFormat="false" ht="15" hidden="false" customHeight="false" outlineLevel="0" collapsed="false">
      <c r="B5" s="9" t="s">
        <v>140</v>
      </c>
      <c r="C5" s="10" t="s">
        <v>141</v>
      </c>
      <c r="D5" s="10" t="s">
        <v>142</v>
      </c>
      <c r="E5" s="10" t="s">
        <v>143</v>
      </c>
      <c r="F5" s="10" t="s">
        <v>144</v>
      </c>
    </row>
    <row r="6" customFormat="false" ht="15" hidden="false" customHeight="false" outlineLevel="0" collapsed="false">
      <c r="B6" s="6" t="s">
        <v>145</v>
      </c>
      <c r="C6" s="20" t="n">
        <f aca="false">Pricer!G6</f>
        <v>7.07381091277896</v>
      </c>
      <c r="D6" s="25" t="n">
        <v>7.073811</v>
      </c>
      <c r="E6" s="22" t="n">
        <f aca="false">C6-D6</f>
        <v>-8.72210401681173E-008</v>
      </c>
      <c r="F6" s="28" t="str">
        <f aca="false">IF(ABS(E6)&lt;0.005,"OK","CHECK")</f>
        <v>OK</v>
      </c>
    </row>
    <row r="7" customFormat="false" ht="15" hidden="false" customHeight="false" outlineLevel="0" collapsed="false">
      <c r="B7" s="6" t="s">
        <v>146</v>
      </c>
      <c r="C7" s="20" t="n">
        <f aca="false">Pricer!G7</f>
        <v>17.5965805910855</v>
      </c>
      <c r="D7" s="25" t="n">
        <v>17.596581</v>
      </c>
      <c r="E7" s="22" t="n">
        <f aca="false">C7-D7</f>
        <v>-4.08914516469849E-007</v>
      </c>
      <c r="F7" s="28" t="str">
        <f aca="false">IF(ABS(E7)&lt;0.005,"OK","CHECK")</f>
        <v>OK</v>
      </c>
    </row>
    <row r="8" customFormat="false" ht="15" hidden="false" customHeight="false" outlineLevel="0" collapsed="false">
      <c r="B8" s="6" t="s">
        <v>147</v>
      </c>
      <c r="C8" s="20" t="n">
        <f aca="false">Pricer!C15</f>
        <v>36.8344456767223</v>
      </c>
      <c r="D8" s="25" t="n">
        <v>36.834445</v>
      </c>
      <c r="E8" s="22" t="n">
        <f aca="false">C8-D8</f>
        <v>6.76722336834246E-007</v>
      </c>
      <c r="F8" s="28" t="str">
        <f aca="false">IF(ABS(E8)&lt;0.005,"OK","CHECK")</f>
        <v>OK</v>
      </c>
    </row>
    <row r="9" customFormat="false" ht="15" hidden="false" customHeight="false" outlineLevel="0" collapsed="false">
      <c r="B9" s="6" t="s">
        <v>148</v>
      </c>
      <c r="C9" s="20" t="n">
        <f aca="false">Pricer!C16</f>
        <v>37.3133247953409</v>
      </c>
      <c r="D9" s="25" t="n">
        <v>37.313325</v>
      </c>
      <c r="E9" s="22" t="n">
        <f aca="false">C9-D9</f>
        <v>-2.0465908079359E-007</v>
      </c>
      <c r="F9" s="28" t="str">
        <f aca="false">IF(ABS(E9)&lt;0.005,"OK","CHECK")</f>
        <v>OK</v>
      </c>
    </row>
    <row r="10" customFormat="false" ht="15" hidden="false" customHeight="false" outlineLevel="0" collapsed="false">
      <c r="B10" s="6" t="s">
        <v>98</v>
      </c>
      <c r="C10" s="20" t="n">
        <f aca="false">Pricer!C17</f>
        <v>35.4368728985217</v>
      </c>
      <c r="D10" s="25" t="n">
        <v>35.436873</v>
      </c>
      <c r="E10" s="22" t="n">
        <f aca="false">C10-D10</f>
        <v>-1.01478306646641E-007</v>
      </c>
      <c r="F10" s="28" t="str">
        <f aca="false">IF(ABS(E10)&lt;0.005,"OK","CHECK")</f>
        <v>OK</v>
      </c>
    </row>
    <row r="11" customFormat="false" ht="15" hidden="false" customHeight="false" outlineLevel="0" collapsed="false">
      <c r="B11" s="6" t="s">
        <v>149</v>
      </c>
      <c r="C11" s="34" t="n">
        <f aca="false">Paths!C371</f>
        <v>16</v>
      </c>
      <c r="D11" s="35" t="n">
        <v>16</v>
      </c>
      <c r="E11" s="22" t="n">
        <f aca="false">C11-D11</f>
        <v>0</v>
      </c>
      <c r="F11" s="28" t="str">
        <f aca="false">IF(ABS(E11)&lt;0.005,"OK","CHECK")</f>
        <v>OK</v>
      </c>
    </row>
    <row r="12" customFormat="false" ht="15" hidden="false" customHeight="false" outlineLevel="0" collapsed="false">
      <c r="B12" s="6" t="s">
        <v>150</v>
      </c>
      <c r="C12" s="34" t="n">
        <f aca="false">Paths!C372</f>
        <v>98</v>
      </c>
      <c r="D12" s="35" t="n">
        <v>98</v>
      </c>
      <c r="E12" s="22" t="n">
        <f aca="false">C12-D12</f>
        <v>0</v>
      </c>
      <c r="F12" s="28" t="str">
        <f aca="false">IF(ABS(E12)&lt;0.005,"OK","CHECK")</f>
        <v>OK</v>
      </c>
    </row>
    <row r="13" customFormat="false" ht="15" hidden="false" customHeight="false" outlineLevel="0" collapsed="false">
      <c r="B13" s="6" t="s">
        <v>135</v>
      </c>
      <c r="C13" s="20" t="n">
        <f aca="false">Paths!C374</f>
        <v>29.4380109583018</v>
      </c>
      <c r="D13" s="25" t="n">
        <v>29.438037</v>
      </c>
      <c r="E13" s="22" t="n">
        <f aca="false">C13-D13</f>
        <v>-2.60416982484912E-005</v>
      </c>
      <c r="F13" s="28" t="str">
        <f aca="false">IF(ABS(E13)&lt;0.005,"OK","CHECK")</f>
        <v>OK</v>
      </c>
    </row>
    <row r="14" customFormat="false" ht="15" hidden="false" customHeight="false" outlineLevel="0" collapsed="false">
      <c r="B14" s="6" t="s">
        <v>151</v>
      </c>
      <c r="C14" s="20" t="n">
        <f aca="false">Paths!C375</f>
        <v>1.3347921686747</v>
      </c>
      <c r="D14" s="25" t="n">
        <v>1.334796</v>
      </c>
      <c r="E14" s="22" t="n">
        <f aca="false">C14-D14</f>
        <v>-3.83132530101804E-006</v>
      </c>
      <c r="F14" s="28" t="str">
        <f aca="false">IF(ABS(E14)&lt;0.005,"OK","CHECK")</f>
        <v>OK</v>
      </c>
    </row>
    <row r="15" customFormat="false" ht="15" hidden="false" customHeight="false" outlineLevel="0" collapsed="false">
      <c r="B15" s="6" t="s">
        <v>152</v>
      </c>
      <c r="C15" s="36" t="n">
        <f aca="false">Paths!C377</f>
        <v>0.851805444010204</v>
      </c>
      <c r="D15" s="37" t="n">
        <v>0.851778</v>
      </c>
      <c r="E15" s="22" t="n">
        <f aca="false">C15-D15</f>
        <v>2.74440102042695E-005</v>
      </c>
      <c r="F15" s="28" t="str">
        <f aca="false">IF(ABS(E15)&lt;0.005,"OK","CHECK")</f>
        <v>OK</v>
      </c>
    </row>
    <row r="16" customFormat="false" ht="15" hidden="false" customHeight="false" outlineLevel="0" collapsed="false">
      <c r="B16" s="6" t="s">
        <v>153</v>
      </c>
      <c r="C16" s="20" t="n">
        <f aca="false">Inputs!C34*Inputs!C35</f>
        <v>40.325785</v>
      </c>
      <c r="D16" s="25" t="n">
        <v>40.325785</v>
      </c>
      <c r="E16" s="22" t="n">
        <f aca="false">C16-D16</f>
        <v>0</v>
      </c>
      <c r="F16" s="28" t="str">
        <f aca="false">IF(ABS(E16)&lt;0.005,"OK","CHECK")</f>
        <v>OK</v>
      </c>
    </row>
    <row r="19" customFormat="false" ht="15" hidden="false" customHeight="false" outlineLevel="0" collapsed="false">
      <c r="B19" s="2"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AppVersion>16.0300</AppVersion>
  <Company>Alessandro Radice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Radice</dc:creator>
  <dc:description>Educational project. Market data from DoltHub and FRED; deal terms from SEC filings.</dc:description>
  <cp:keywords>M&amp;A collar exchange ratio merger arbitrage options Boeing Spirit AeroSystems</cp:keywords>
  <dc:language>en-US</dc:language>
  <cp:lastModifiedBy>Alessandro Radice</cp:lastModifiedBy>
  <cp:revision>0</cp:revision>
  <dc:subject>Collar in Boeing's all-stock acquisition of Spirit AeroSystems: pricer, scenarios, band grid, daily paths</dc:subject>
  <dc:title>Boeing–Spirit Merger Analysis: Collar Valuation and Merger Arbitrage</dc:title>
</cp:coreProperties>
</file>

<file path=docProps/custom.xml><?xml version="1.0" encoding="utf-8"?>
<Properties xmlns="http://schemas.openxmlformats.org/officeDocument/2006/custom-properties" xmlns:vt="http://schemas.openxmlformats.org/officeDocument/2006/docPropsVTypes"/>
</file>